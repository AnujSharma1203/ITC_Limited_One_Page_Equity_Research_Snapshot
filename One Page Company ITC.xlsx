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987\Desktop\"/>
    </mc:Choice>
  </mc:AlternateContent>
  <bookViews>
    <workbookView xWindow="0" yWindow="0" windowWidth="23040" windowHeight="9072" firstSheet="1" activeTab="1"/>
  </bookViews>
  <sheets>
    <sheet name="Input Sheet" sheetId="8" r:id="rId1"/>
    <sheet name="Teaser" sheetId="7" r:id="rId2"/>
    <sheet name="Profit &amp; Loss" sheetId="1" r:id="rId3"/>
    <sheet name="Quarters" sheetId="3" r:id="rId4"/>
    <sheet name="Sheet3" sheetId="9" r:id="rId5"/>
    <sheet name="Balance Sheet" sheetId="2" r:id="rId6"/>
    <sheet name="Cash Flow" sheetId="4" r:id="rId7"/>
    <sheet name="Customization" sheetId="5" r:id="rId8"/>
    <sheet name="Data Sheet" sheetId="6" r:id="rId9"/>
  </sheets>
  <externalReferences>
    <externalReference r:id="rId10"/>
  </externalReferences>
  <definedNames>
    <definedName name="_xlnm.Print_Area" localSheetId="1">Teaser!$A$1:$N$94</definedName>
    <definedName name="UPDATE">'Data Sheet'!$E$1</definedName>
  </definedNames>
  <calcPr calcId="162913"/>
  <extLst>
    <ext xmlns:x14="http://schemas.microsoft.com/office/spreadsheetml/2009/9/main" uri="{79F54976-1DA5-4618-B147-4CDE4B953A38}">
      <x14:workbookPr defaultImageDpi="330"/>
    </ext>
  </extLst>
</workbook>
</file>

<file path=xl/calcChain.xml><?xml version="1.0" encoding="utf-8"?>
<calcChain xmlns="http://schemas.openxmlformats.org/spreadsheetml/2006/main">
  <c r="E28" i="7" l="1"/>
  <c r="F28" i="7"/>
  <c r="G28" i="7"/>
  <c r="M46" i="7" l="1"/>
  <c r="M45" i="7"/>
  <c r="M44" i="7"/>
  <c r="M43" i="7"/>
  <c r="M42" i="7" l="1"/>
  <c r="E30" i="7"/>
  <c r="F30" i="7"/>
  <c r="G30" i="7"/>
  <c r="E31" i="7"/>
  <c r="F31" i="7"/>
  <c r="G31" i="7"/>
  <c r="E32" i="7"/>
  <c r="F32" i="7"/>
  <c r="G32" i="7"/>
  <c r="E33" i="7"/>
  <c r="F33" i="7"/>
  <c r="G33" i="7"/>
  <c r="E34" i="7"/>
  <c r="F34" i="7"/>
  <c r="G34" i="7"/>
  <c r="E35" i="7"/>
  <c r="F35" i="7"/>
  <c r="G35" i="7"/>
  <c r="E36" i="7"/>
  <c r="F36" i="7"/>
  <c r="G36" i="7"/>
  <c r="E37" i="7"/>
  <c r="F37" i="7"/>
  <c r="G37" i="7"/>
  <c r="E38" i="7"/>
  <c r="F38" i="7"/>
  <c r="G38" i="7"/>
  <c r="G29" i="7"/>
  <c r="F29" i="7"/>
  <c r="E29" i="7"/>
  <c r="B38" i="7"/>
  <c r="B30" i="7"/>
  <c r="B31" i="7"/>
  <c r="B32" i="7"/>
  <c r="B33" i="7"/>
  <c r="B34" i="7"/>
  <c r="B35" i="7"/>
  <c r="B36" i="7"/>
  <c r="B37" i="7"/>
  <c r="I1253" i="9"/>
  <c r="B29" i="7"/>
  <c r="G24" i="7"/>
  <c r="F24" i="7"/>
  <c r="E24" i="7"/>
  <c r="D24" i="7"/>
  <c r="C24" i="7"/>
  <c r="G23" i="7"/>
  <c r="F23" i="7"/>
  <c r="E23" i="7"/>
  <c r="D23" i="7"/>
  <c r="C23" i="7"/>
  <c r="G22" i="7"/>
  <c r="F22" i="7"/>
  <c r="E22" i="7"/>
  <c r="D22" i="7"/>
  <c r="C22" i="7"/>
  <c r="G21" i="7"/>
  <c r="F21" i="7"/>
  <c r="E21" i="7"/>
  <c r="D21" i="7"/>
  <c r="C21" i="7"/>
  <c r="J51" i="1"/>
  <c r="I51" i="1"/>
  <c r="H51" i="1"/>
  <c r="G51" i="1"/>
  <c r="F51" i="1"/>
  <c r="E51" i="1"/>
  <c r="J26" i="2"/>
  <c r="I26" i="2"/>
  <c r="H26" i="2"/>
  <c r="G26" i="2"/>
  <c r="F26" i="2"/>
  <c r="E26" i="2"/>
  <c r="K49" i="1"/>
  <c r="J49" i="1"/>
  <c r="I49" i="1"/>
  <c r="H49" i="1"/>
  <c r="G49" i="1"/>
  <c r="F49" i="1"/>
  <c r="E49" i="1"/>
  <c r="K48" i="1"/>
  <c r="J48" i="1"/>
  <c r="I48" i="1"/>
  <c r="H48" i="1"/>
  <c r="G48" i="1"/>
  <c r="F48" i="1"/>
  <c r="E48" i="1"/>
  <c r="K46" i="1"/>
  <c r="J46" i="1"/>
  <c r="I46" i="1"/>
  <c r="H46" i="1"/>
  <c r="G46" i="1"/>
  <c r="F46" i="1"/>
  <c r="E46" i="1"/>
  <c r="E43" i="1"/>
  <c r="K43" i="1"/>
  <c r="J43" i="1"/>
  <c r="I43" i="1"/>
  <c r="H43" i="1"/>
  <c r="G43" i="1"/>
  <c r="F43" i="1"/>
  <c r="K42" i="1"/>
  <c r="J42" i="1"/>
  <c r="I42" i="1"/>
  <c r="H42" i="1"/>
  <c r="G42" i="1"/>
  <c r="F42" i="1"/>
  <c r="E42" i="1"/>
  <c r="K41" i="1"/>
  <c r="J41" i="1"/>
  <c r="I41" i="1"/>
  <c r="H41" i="1"/>
  <c r="G41" i="1"/>
  <c r="F41" i="1"/>
  <c r="E41" i="1"/>
  <c r="G17" i="7"/>
  <c r="F17" i="7"/>
  <c r="E17" i="7"/>
  <c r="D17" i="7"/>
  <c r="C17" i="7"/>
  <c r="K39" i="1"/>
  <c r="J39" i="1"/>
  <c r="I39" i="1"/>
  <c r="H39" i="1"/>
  <c r="G39" i="1"/>
  <c r="E39" i="1"/>
  <c r="D38" i="1"/>
  <c r="F39" i="1"/>
  <c r="D16" i="7"/>
  <c r="E16" i="7"/>
  <c r="F16" i="7"/>
  <c r="G16" i="7"/>
  <c r="C16" i="7"/>
  <c r="K38" i="1"/>
  <c r="J38" i="1"/>
  <c r="I38" i="1"/>
  <c r="H38" i="1"/>
  <c r="G38" i="1"/>
  <c r="F38" i="1"/>
  <c r="E38" i="1"/>
  <c r="G15" i="7"/>
  <c r="F15" i="7"/>
  <c r="E15" i="7"/>
  <c r="D15" i="7"/>
  <c r="C15" i="7"/>
  <c r="K36" i="1"/>
  <c r="J36" i="1"/>
  <c r="I36" i="1"/>
  <c r="H36" i="1"/>
  <c r="G36" i="1"/>
  <c r="F36" i="1"/>
  <c r="E36" i="1"/>
  <c r="G14" i="7"/>
  <c r="F14" i="7"/>
  <c r="E14" i="7"/>
  <c r="D14" i="7"/>
  <c r="C14" i="7"/>
  <c r="G13" i="7"/>
  <c r="F13" i="7"/>
  <c r="E13" i="7"/>
  <c r="D13" i="7"/>
  <c r="C13" i="7"/>
  <c r="K33" i="1"/>
  <c r="J33" i="1"/>
  <c r="I33" i="1"/>
  <c r="H33" i="1"/>
  <c r="G33" i="1"/>
  <c r="F33" i="1"/>
  <c r="E33" i="1"/>
  <c r="G12" i="7"/>
  <c r="F12" i="7"/>
  <c r="E12" i="7"/>
  <c r="D12" i="7"/>
  <c r="C12" i="7"/>
  <c r="K32" i="1"/>
  <c r="J32" i="1"/>
  <c r="I32" i="1"/>
  <c r="H32" i="1"/>
  <c r="G32" i="1"/>
  <c r="F32" i="1"/>
  <c r="E32" i="1"/>
  <c r="G11" i="7"/>
  <c r="F11" i="7"/>
  <c r="E11" i="7"/>
  <c r="D11" i="7"/>
  <c r="C11" i="7"/>
  <c r="K31" i="1"/>
  <c r="J31" i="1"/>
  <c r="I31" i="1"/>
  <c r="H31" i="1"/>
  <c r="G31" i="1"/>
  <c r="F31" i="1"/>
  <c r="E31" i="1"/>
  <c r="G10" i="7"/>
  <c r="F10" i="7"/>
  <c r="E10" i="7"/>
  <c r="D10" i="7"/>
  <c r="C10" i="7"/>
  <c r="K30" i="1"/>
  <c r="J30" i="1"/>
  <c r="I30" i="1"/>
  <c r="H30" i="1"/>
  <c r="G30" i="1"/>
  <c r="F30" i="1"/>
  <c r="E30" i="1"/>
  <c r="K29" i="1"/>
  <c r="F29" i="1"/>
  <c r="G29" i="1"/>
  <c r="H29" i="1"/>
  <c r="I29" i="1"/>
  <c r="J29" i="1"/>
  <c r="E29" i="1"/>
  <c r="G9" i="7"/>
  <c r="F9" i="7"/>
  <c r="E9" i="7"/>
  <c r="D9" i="7"/>
  <c r="C9" i="7"/>
  <c r="K27" i="1"/>
  <c r="J27" i="1"/>
  <c r="I27" i="1"/>
  <c r="H27" i="1"/>
  <c r="G27" i="1"/>
  <c r="F27" i="1"/>
  <c r="E27" i="1"/>
  <c r="G8" i="7"/>
  <c r="F8" i="7"/>
  <c r="E8" i="7"/>
  <c r="D8" i="7"/>
  <c r="C8" i="7"/>
  <c r="G6" i="7"/>
  <c r="G19" i="7" s="1"/>
  <c r="F6" i="7"/>
  <c r="F19" i="7" s="1"/>
  <c r="E6" i="7"/>
  <c r="E19" i="7" s="1"/>
  <c r="D6" i="7"/>
  <c r="D19" i="7" s="1"/>
  <c r="C6" i="7"/>
  <c r="C19" i="7" s="1"/>
  <c r="C4" i="7"/>
  <c r="B2" i="7"/>
  <c r="C6" i="3" l="1"/>
  <c r="D6" i="3"/>
  <c r="E6" i="3"/>
  <c r="F6" i="3"/>
  <c r="G6" i="3"/>
  <c r="H6" i="3"/>
  <c r="H14" i="3" s="1"/>
  <c r="I6" i="3"/>
  <c r="J6" i="3"/>
  <c r="K6" i="3"/>
  <c r="B6" i="3"/>
  <c r="C5" i="1"/>
  <c r="C6" i="1" s="1"/>
  <c r="C19" i="1" s="1"/>
  <c r="D5" i="1"/>
  <c r="E5" i="1"/>
  <c r="F5" i="1"/>
  <c r="G5" i="1"/>
  <c r="H5" i="1"/>
  <c r="I5" i="1"/>
  <c r="J5" i="1"/>
  <c r="K5" i="1"/>
  <c r="B5" i="1"/>
  <c r="C13" i="1"/>
  <c r="B13" i="1"/>
  <c r="B6" i="6"/>
  <c r="L13" i="1" s="1"/>
  <c r="L14" i="1" s="1"/>
  <c r="L25" i="1" s="1"/>
  <c r="C17" i="2"/>
  <c r="D17" i="2"/>
  <c r="E17" i="2"/>
  <c r="E20" i="2" s="1"/>
  <c r="F17" i="2"/>
  <c r="G17" i="2"/>
  <c r="H17" i="2"/>
  <c r="I17" i="2"/>
  <c r="J17" i="2"/>
  <c r="K17" i="2"/>
  <c r="C18" i="2"/>
  <c r="D18" i="2"/>
  <c r="D21" i="2" s="1"/>
  <c r="E18" i="2"/>
  <c r="F18" i="2"/>
  <c r="G18" i="2"/>
  <c r="H18" i="2"/>
  <c r="H21" i="2" s="1"/>
  <c r="I18" i="2"/>
  <c r="I21" i="2" s="1"/>
  <c r="J18" i="2"/>
  <c r="K18" i="2"/>
  <c r="B17" i="2"/>
  <c r="C4" i="2"/>
  <c r="D4" i="2"/>
  <c r="E4" i="2"/>
  <c r="E5" i="2"/>
  <c r="E23" i="2"/>
  <c r="F4" i="2"/>
  <c r="G4" i="2"/>
  <c r="H4" i="2"/>
  <c r="H23" i="2" s="1"/>
  <c r="I4" i="2"/>
  <c r="I5" i="2"/>
  <c r="J4" i="2"/>
  <c r="J5" i="2"/>
  <c r="J23" i="2" s="1"/>
  <c r="K4" i="2"/>
  <c r="K23" i="2" s="1"/>
  <c r="C5" i="2"/>
  <c r="D5" i="2"/>
  <c r="D23" i="2" s="1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H7" i="2"/>
  <c r="I7" i="2"/>
  <c r="I16" i="2" s="1"/>
  <c r="J7" i="2"/>
  <c r="K7" i="2"/>
  <c r="K16" i="2" s="1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H16" i="2" s="1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G4" i="3"/>
  <c r="G14" i="3" s="1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L10" i="1" s="1"/>
  <c r="K10" i="3"/>
  <c r="C11" i="3"/>
  <c r="D11" i="3"/>
  <c r="E11" i="3"/>
  <c r="F11" i="3"/>
  <c r="G11" i="3"/>
  <c r="H11" i="3"/>
  <c r="I11" i="3"/>
  <c r="L11" i="1" s="1"/>
  <c r="J11" i="3"/>
  <c r="K11" i="3"/>
  <c r="C12" i="3"/>
  <c r="D12" i="3"/>
  <c r="E12" i="3"/>
  <c r="F12" i="3"/>
  <c r="G12" i="3"/>
  <c r="H12" i="3"/>
  <c r="L12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D6" i="1" s="1"/>
  <c r="D19" i="1" s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23" i="2" s="1"/>
  <c r="D12" i="1"/>
  <c r="E12" i="1"/>
  <c r="F12" i="1"/>
  <c r="F13" i="1" s="1"/>
  <c r="G12" i="1"/>
  <c r="G13" i="1" s="1"/>
  <c r="G14" i="1" s="1"/>
  <c r="H12" i="1"/>
  <c r="I12" i="1"/>
  <c r="I23" i="2" s="1"/>
  <c r="J12" i="1"/>
  <c r="J13" i="1" s="1"/>
  <c r="K12" i="1"/>
  <c r="K13" i="1" s="1"/>
  <c r="C15" i="1"/>
  <c r="C14" i="1" s="1"/>
  <c r="D15" i="1"/>
  <c r="E15" i="1"/>
  <c r="F15" i="1"/>
  <c r="G15" i="1"/>
  <c r="H15" i="1"/>
  <c r="I15" i="1"/>
  <c r="J15" i="1"/>
  <c r="J14" i="1" s="1"/>
  <c r="K15" i="1"/>
  <c r="K14" i="1" s="1"/>
  <c r="B15" i="1"/>
  <c r="B14" i="1" s="1"/>
  <c r="H13" i="1"/>
  <c r="I13" i="1"/>
  <c r="B7" i="1"/>
  <c r="B4" i="1"/>
  <c r="B20" i="2" s="1"/>
  <c r="A1" i="1"/>
  <c r="E1" i="6"/>
  <c r="H1" i="1" s="1"/>
  <c r="E1" i="2"/>
  <c r="E1" i="3"/>
  <c r="D16" i="2"/>
  <c r="F23" i="2"/>
  <c r="G23" i="2"/>
  <c r="F16" i="2"/>
  <c r="B23" i="2"/>
  <c r="E6" i="1"/>
  <c r="E19" i="1"/>
  <c r="K6" i="1"/>
  <c r="K19" i="1" s="1"/>
  <c r="G6" i="1"/>
  <c r="G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G21" i="2"/>
  <c r="F21" i="2"/>
  <c r="E21" i="2"/>
  <c r="C21" i="2"/>
  <c r="B18" i="2"/>
  <c r="B21" i="2" s="1"/>
  <c r="B13" i="2"/>
  <c r="B16" i="2" s="1"/>
  <c r="B12" i="2"/>
  <c r="B11" i="2"/>
  <c r="B10" i="2"/>
  <c r="B8" i="2"/>
  <c r="B7" i="2"/>
  <c r="B6" i="2"/>
  <c r="B3" i="2"/>
  <c r="J14" i="3"/>
  <c r="F14" i="3"/>
  <c r="B12" i="3"/>
  <c r="B11" i="3"/>
  <c r="B10" i="3"/>
  <c r="B9" i="3"/>
  <c r="B8" i="3"/>
  <c r="B7" i="3"/>
  <c r="B4" i="3"/>
  <c r="B3" i="3"/>
  <c r="L15" i="1"/>
  <c r="B12" i="1"/>
  <c r="B11" i="1"/>
  <c r="B10" i="1"/>
  <c r="B9" i="1"/>
  <c r="B8" i="1"/>
  <c r="B3" i="1"/>
  <c r="I14" i="3"/>
  <c r="G20" i="2"/>
  <c r="K20" i="2"/>
  <c r="J20" i="2"/>
  <c r="C20" i="2"/>
  <c r="A1" i="3"/>
  <c r="A1" i="2"/>
  <c r="A1" i="4" s="1"/>
  <c r="J23" i="1"/>
  <c r="L5" i="1"/>
  <c r="F14" i="1" l="1"/>
  <c r="N11" i="1"/>
  <c r="M11" i="1"/>
  <c r="L9" i="1"/>
  <c r="E16" i="2"/>
  <c r="H23" i="1"/>
  <c r="N23" i="1" s="1"/>
  <c r="N4" i="1" s="1"/>
  <c r="D20" i="2"/>
  <c r="J6" i="1"/>
  <c r="J19" i="1" s="1"/>
  <c r="J16" i="2"/>
  <c r="G16" i="2"/>
  <c r="E24" i="2"/>
  <c r="K24" i="2"/>
  <c r="E14" i="1"/>
  <c r="J24" i="2"/>
  <c r="D24" i="2"/>
  <c r="D14" i="1"/>
  <c r="I24" i="2"/>
  <c r="L4" i="1"/>
  <c r="L23" i="1" s="1"/>
  <c r="I14" i="1"/>
  <c r="K25" i="1" s="1"/>
  <c r="M25" i="1" s="1"/>
  <c r="M14" i="1" s="1"/>
  <c r="C24" i="2"/>
  <c r="H24" i="2"/>
  <c r="L6" i="1"/>
  <c r="H14" i="1"/>
  <c r="G24" i="2"/>
  <c r="D13" i="1"/>
  <c r="E13" i="1" s="1"/>
  <c r="B6" i="1"/>
  <c r="B19" i="1" s="1"/>
  <c r="H24" i="1" s="1"/>
  <c r="K24" i="1"/>
  <c r="I23" i="1"/>
  <c r="B14" i="3"/>
  <c r="I6" i="1"/>
  <c r="I19" i="1" s="1"/>
  <c r="F24" i="2"/>
  <c r="J25" i="1"/>
  <c r="M9" i="1"/>
  <c r="N9" i="1"/>
  <c r="N8" i="1"/>
  <c r="M8" i="1"/>
  <c r="H25" i="1"/>
  <c r="N25" i="1" s="1"/>
  <c r="N14" i="1" s="1"/>
  <c r="I25" i="1"/>
  <c r="I20" i="2"/>
  <c r="J24" i="1"/>
  <c r="H20" i="2"/>
  <c r="K23" i="1"/>
  <c r="H6" i="1"/>
  <c r="H19" i="1" s="1"/>
  <c r="F6" i="1"/>
  <c r="F19" i="1" s="1"/>
  <c r="I24" i="1" s="1"/>
  <c r="E1" i="4"/>
  <c r="M23" i="1" l="1"/>
  <c r="M4" i="1" s="1"/>
  <c r="L19" i="1"/>
  <c r="L24" i="1" s="1"/>
  <c r="M24" i="1" s="1"/>
  <c r="M6" i="1" l="1"/>
  <c r="M10" i="1" s="1"/>
  <c r="M12" i="1" s="1"/>
  <c r="M13" i="1" s="1"/>
  <c r="M15" i="1" s="1"/>
  <c r="N24" i="1"/>
  <c r="N6" i="1" s="1"/>
  <c r="M5" i="1"/>
  <c r="N10" i="1" l="1"/>
  <c r="N12" i="1" s="1"/>
  <c r="N13" i="1" s="1"/>
  <c r="N15" i="1" s="1"/>
  <c r="N5" i="1"/>
</calcChain>
</file>

<file path=xl/sharedStrings.xml><?xml version="1.0" encoding="utf-8"?>
<sst xmlns="http://schemas.openxmlformats.org/spreadsheetml/2006/main" count="1496" uniqueCount="1188">
  <si>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</si>
  <si>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</si>
  <si>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</si>
  <si>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</si>
  <si>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</si>
  <si>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</si>
  <si>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</si>
  <si>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</si>
  <si>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</si>
  <si>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</si>
  <si>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</si>
  <si>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</si>
  <si>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</si>
  <si>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</si>
  <si>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</si>
  <si>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</si>
  <si>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</si>
  <si>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</si>
  <si>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</si>
  <si>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</si>
  <si>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</si>
  <si>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</si>
  <si>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</si>
  <si>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</si>
  <si>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</si>
  <si>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</si>
  <si>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</si>
  <si>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</si>
  <si>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</si>
  <si>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</si>
  <si>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</si>
  <si>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</si>
  <si>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</si>
  <si>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</si>
  <si>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</si>
  <si>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</si>
  <si>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</si>
  <si>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</si>
  <si>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</si>
  <si>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</si>
  <si>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</si>
  <si>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</si>
  <si>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</si>
  <si>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</si>
  <si>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</si>
  <si>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</si>
  <si>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</si>
  <si>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</si>
  <si>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</si>
  <si>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</si>
  <si>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</si>
  <si>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</si>
  <si>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</si>
  <si>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</si>
  <si>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</si>
  <si>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</si>
  <si>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</si>
  <si>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</si>
  <si>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</si>
  <si>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</si>
  <si>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</si>
  <si>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</si>
  <si>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</si>
  <si>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</si>
  <si>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</si>
  <si>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</si>
  <si>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</si>
  <si>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</si>
  <si>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</si>
  <si>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</si>
  <si>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</si>
  <si>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</si>
  <si>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</si>
  <si>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</si>
  <si>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</si>
  <si>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</si>
  <si>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</si>
  <si>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</si>
  <si>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</si>
  <si>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</si>
  <si>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</si>
  <si>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</si>
  <si>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</si>
  <si>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</si>
  <si>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</si>
  <si>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</si>
  <si>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</si>
  <si>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</si>
  <si>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</si>
  <si>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</si>
  <si>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</si>
  <si>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</si>
  <si>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</si>
  <si>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company description</t>
  </si>
  <si>
    <t xml:space="preserve">ITC Limited is an Indian conglomerate, headquartered in Kolkata. It has a presence across six business segments, namely FMCG, agribusiness, information technology, paper products, and packaging. It generates a plurality of its revenue from tobacco products.
In terms of market capitalization, ITC is the second-largest FMCG company in India and the third-largest tobacco company in the world. It employs 36,500 people at more than 60 locations across India.
</t>
  </si>
  <si>
    <t>Key Financial Metrics</t>
  </si>
  <si>
    <t xml:space="preserve">Total Sales </t>
  </si>
  <si>
    <t>INR (Crs)</t>
  </si>
  <si>
    <t>Sales Growth (Y-O-Y)</t>
  </si>
  <si>
    <r>
      <t xml:space="preserve">Sales Growth </t>
    </r>
    <r>
      <rPr>
        <i/>
        <sz val="11"/>
        <color theme="1"/>
        <rFont val="Calibri"/>
        <family val="2"/>
        <scheme val="minor"/>
      </rPr>
      <t>(Y-O-Y)</t>
    </r>
  </si>
  <si>
    <t>Gross Profit</t>
  </si>
  <si>
    <t>GPM</t>
  </si>
  <si>
    <t xml:space="preserve">EBITDA Margins </t>
  </si>
  <si>
    <t>Growth Profit Margin (%)</t>
  </si>
  <si>
    <t xml:space="preserve">EBIT Margins </t>
  </si>
  <si>
    <t>EBITDA Margins (%)</t>
  </si>
  <si>
    <t>EBIT Margins (%)</t>
  </si>
  <si>
    <t>Net Margins (%)</t>
  </si>
  <si>
    <t>Earning per Share (in Rs)</t>
  </si>
  <si>
    <t>EPS Growth (Y-O-Y)</t>
  </si>
  <si>
    <t>Divident payout</t>
  </si>
  <si>
    <t>Dividend per Share (in Rs)</t>
  </si>
  <si>
    <t>DPS Growth (Y-O-Y)</t>
  </si>
  <si>
    <t xml:space="preserve">Divident growth </t>
  </si>
  <si>
    <t>date</t>
  </si>
  <si>
    <t>Date</t>
  </si>
  <si>
    <t>Share price - 5Y</t>
  </si>
  <si>
    <t xml:space="preserve">Enterprise value </t>
  </si>
  <si>
    <t>Market Cap</t>
  </si>
  <si>
    <t>Debt</t>
  </si>
  <si>
    <t>cash</t>
  </si>
  <si>
    <t>ev%</t>
  </si>
  <si>
    <t>ev sales</t>
  </si>
  <si>
    <t xml:space="preserve">Book Value </t>
  </si>
  <si>
    <t>P/B</t>
  </si>
  <si>
    <t>Price to Earnings</t>
  </si>
  <si>
    <t>EV/EBITDA</t>
  </si>
  <si>
    <t>EV / Sales</t>
  </si>
  <si>
    <t xml:space="preserve">Price to Book value </t>
  </si>
  <si>
    <t>Return On Equity</t>
  </si>
  <si>
    <t>Return on Capital Employed (%)</t>
  </si>
  <si>
    <t>Vol.</t>
  </si>
  <si>
    <t>12.82M</t>
  </si>
  <si>
    <t>5.83M</t>
  </si>
  <si>
    <t>8.20M</t>
  </si>
  <si>
    <t>6.15M</t>
  </si>
  <si>
    <t>16.34M</t>
  </si>
  <si>
    <t>14.45M</t>
  </si>
  <si>
    <t>13.27M</t>
  </si>
  <si>
    <t>19.89M</t>
  </si>
  <si>
    <t>12.08M</t>
  </si>
  <si>
    <t>24.61M</t>
  </si>
  <si>
    <t>9.03M</t>
  </si>
  <si>
    <t>7.57M</t>
  </si>
  <si>
    <t>8.11M</t>
  </si>
  <si>
    <t>17.62M</t>
  </si>
  <si>
    <t>16.43M</t>
  </si>
  <si>
    <t>10.54M</t>
  </si>
  <si>
    <t>11.48M</t>
  </si>
  <si>
    <t>10.61M</t>
  </si>
  <si>
    <t>13.43M</t>
  </si>
  <si>
    <t>17.93M</t>
  </si>
  <si>
    <t>11.87M</t>
  </si>
  <si>
    <t>15.31M</t>
  </si>
  <si>
    <t>8.03M</t>
  </si>
  <si>
    <t>12.48M</t>
  </si>
  <si>
    <t>10.84M</t>
  </si>
  <si>
    <t>8.69M</t>
  </si>
  <si>
    <t>9.58M</t>
  </si>
  <si>
    <t>21.48M</t>
  </si>
  <si>
    <t>11.34M</t>
  </si>
  <si>
    <t>6.85M</t>
  </si>
  <si>
    <t>13.50M</t>
  </si>
  <si>
    <t>9.45M</t>
  </si>
  <si>
    <t>11.64M</t>
  </si>
  <si>
    <t>7.38M</t>
  </si>
  <si>
    <t>9.77M</t>
  </si>
  <si>
    <t>957.14K</t>
  </si>
  <si>
    <t>15.03M</t>
  </si>
  <si>
    <t>7.05M</t>
  </si>
  <si>
    <t>6.70M</t>
  </si>
  <si>
    <t>6.92M</t>
  </si>
  <si>
    <t>12.15M</t>
  </si>
  <si>
    <t>12.64M</t>
  </si>
  <si>
    <t>16.72M</t>
  </si>
  <si>
    <t>7.80M</t>
  </si>
  <si>
    <t>5.65M</t>
  </si>
  <si>
    <t>6.68M</t>
  </si>
  <si>
    <t>8.95M</t>
  </si>
  <si>
    <t>6.88M</t>
  </si>
  <si>
    <t>8.86M</t>
  </si>
  <si>
    <t>13.66M</t>
  </si>
  <si>
    <t>8.64M</t>
  </si>
  <si>
    <t>8.57M</t>
  </si>
  <si>
    <t>6.31M</t>
  </si>
  <si>
    <t>11.45M</t>
  </si>
  <si>
    <t>9.68M</t>
  </si>
  <si>
    <t>8.10M</t>
  </si>
  <si>
    <t>10.24M</t>
  </si>
  <si>
    <t>10.08M</t>
  </si>
  <si>
    <t>15.82M</t>
  </si>
  <si>
    <t>8.59M</t>
  </si>
  <si>
    <t>12.23M</t>
  </si>
  <si>
    <t>8.83M</t>
  </si>
  <si>
    <t>13.13M</t>
  </si>
  <si>
    <t>4.96M</t>
  </si>
  <si>
    <t>6.82M</t>
  </si>
  <si>
    <t>8.54M</t>
  </si>
  <si>
    <t>8.49M</t>
  </si>
  <si>
    <t>11.44M</t>
  </si>
  <si>
    <t>13.19M</t>
  </si>
  <si>
    <t>5.45M</t>
  </si>
  <si>
    <t>2.49M</t>
  </si>
  <si>
    <t>9.93M</t>
  </si>
  <si>
    <t>6.11M</t>
  </si>
  <si>
    <t>7.81M</t>
  </si>
  <si>
    <t>9.76M</t>
  </si>
  <si>
    <t>7.48M</t>
  </si>
  <si>
    <t>12.18M</t>
  </si>
  <si>
    <t>10.29M</t>
  </si>
  <si>
    <t>16.77M</t>
  </si>
  <si>
    <t>6.40M</t>
  </si>
  <si>
    <t>7.21M</t>
  </si>
  <si>
    <t>7.78M</t>
  </si>
  <si>
    <t>10.60M</t>
  </si>
  <si>
    <t>10.99M</t>
  </si>
  <si>
    <t>10.33M</t>
  </si>
  <si>
    <t>40.19M</t>
  </si>
  <si>
    <t>28.03M</t>
  </si>
  <si>
    <t>8.90M</t>
  </si>
  <si>
    <t>8.99M</t>
  </si>
  <si>
    <t>7.00M</t>
  </si>
  <si>
    <t>10.45M</t>
  </si>
  <si>
    <t>15.35M</t>
  </si>
  <si>
    <t>18.35M</t>
  </si>
  <si>
    <t>6.06M</t>
  </si>
  <si>
    <t>9.83M</t>
  </si>
  <si>
    <t>5.95M</t>
  </si>
  <si>
    <t>4.41M</t>
  </si>
  <si>
    <t>9.95M</t>
  </si>
  <si>
    <t>7.34M</t>
  </si>
  <si>
    <t>15.34M</t>
  </si>
  <si>
    <t>9.99M</t>
  </si>
  <si>
    <t>37.55M</t>
  </si>
  <si>
    <t>40.67M</t>
  </si>
  <si>
    <t>34.45M</t>
  </si>
  <si>
    <t>5.98M</t>
  </si>
  <si>
    <t>8.76M</t>
  </si>
  <si>
    <t>30.05M</t>
  </si>
  <si>
    <t>11.78M</t>
  </si>
  <si>
    <t>43.21M</t>
  </si>
  <si>
    <t>13.58M</t>
  </si>
  <si>
    <t>20.05M</t>
  </si>
  <si>
    <t>14.29M</t>
  </si>
  <si>
    <t>12.68M</t>
  </si>
  <si>
    <t>14.72M</t>
  </si>
  <si>
    <t>14.14M</t>
  </si>
  <si>
    <t>11.07M</t>
  </si>
  <si>
    <t>10.11M</t>
  </si>
  <si>
    <t>21.40M</t>
  </si>
  <si>
    <t>9.17M</t>
  </si>
  <si>
    <t>15.76M</t>
  </si>
  <si>
    <t>15.62M</t>
  </si>
  <si>
    <t>8.07M</t>
  </si>
  <si>
    <t>8.02M</t>
  </si>
  <si>
    <t>10.76M</t>
  </si>
  <si>
    <t>8.43M</t>
  </si>
  <si>
    <t>17.75M</t>
  </si>
  <si>
    <t>11.91M</t>
  </si>
  <si>
    <t>6.20M</t>
  </si>
  <si>
    <t>9.85M</t>
  </si>
  <si>
    <t>9.06M</t>
  </si>
  <si>
    <t>6.97M</t>
  </si>
  <si>
    <t>5.29M</t>
  </si>
  <si>
    <t>6.18M</t>
  </si>
  <si>
    <t>5.33M</t>
  </si>
  <si>
    <t>21.82M</t>
  </si>
  <si>
    <t>12.61M</t>
  </si>
  <si>
    <t>9.75M</t>
  </si>
  <si>
    <t>8.84M</t>
  </si>
  <si>
    <t>6.67M</t>
  </si>
  <si>
    <t>7.50M</t>
  </si>
  <si>
    <t>23.24M</t>
  </si>
  <si>
    <t>4.65M</t>
  </si>
  <si>
    <t>11.16M</t>
  </si>
  <si>
    <t>7.49M</t>
  </si>
  <si>
    <t>5.89M</t>
  </si>
  <si>
    <t>6.74M</t>
  </si>
  <si>
    <t>8.66M</t>
  </si>
  <si>
    <t>7.88M</t>
  </si>
  <si>
    <t>10.22M</t>
  </si>
  <si>
    <t>6.90M</t>
  </si>
  <si>
    <t>35.88M</t>
  </si>
  <si>
    <t>21.15M</t>
  </si>
  <si>
    <t>17.89M</t>
  </si>
  <si>
    <t>7.35M</t>
  </si>
  <si>
    <t>11.19M</t>
  </si>
  <si>
    <t>11.01M</t>
  </si>
  <si>
    <t>10.52M</t>
  </si>
  <si>
    <t>13.74M</t>
  </si>
  <si>
    <t>31.38M</t>
  </si>
  <si>
    <t>10.88M</t>
  </si>
  <si>
    <t>9.02M</t>
  </si>
  <si>
    <t>15.60M</t>
  </si>
  <si>
    <t>7.26M</t>
  </si>
  <si>
    <t>26.28M</t>
  </si>
  <si>
    <t>19.57M</t>
  </si>
  <si>
    <t>13.85M</t>
  </si>
  <si>
    <t>10.66M</t>
  </si>
  <si>
    <t>7.70M</t>
  </si>
  <si>
    <t>8.62M</t>
  </si>
  <si>
    <t>8.46M</t>
  </si>
  <si>
    <t>8.25M</t>
  </si>
  <si>
    <t>7.20M</t>
  </si>
  <si>
    <t>7.91M</t>
  </si>
  <si>
    <t>10.01M</t>
  </si>
  <si>
    <t>9.05M</t>
  </si>
  <si>
    <t>10.57M</t>
  </si>
  <si>
    <t>18.60M</t>
  </si>
  <si>
    <t>8.94M</t>
  </si>
  <si>
    <t>12.38M</t>
  </si>
  <si>
    <t>7.42M</t>
  </si>
  <si>
    <t>23.31M</t>
  </si>
  <si>
    <t>8.45M</t>
  </si>
  <si>
    <t>5.04M</t>
  </si>
  <si>
    <t>9.98M</t>
  </si>
  <si>
    <t>18.12M</t>
  </si>
  <si>
    <t>9.70M</t>
  </si>
  <si>
    <t>37.05M</t>
  </si>
  <si>
    <t>12.17M</t>
  </si>
  <si>
    <t>7.71M</t>
  </si>
  <si>
    <t>8.16M</t>
  </si>
  <si>
    <t>8.40M</t>
  </si>
  <si>
    <t>10.47M</t>
  </si>
  <si>
    <t>6.36M</t>
  </si>
  <si>
    <t>6.29M</t>
  </si>
  <si>
    <t>9.10M</t>
  </si>
  <si>
    <t>7.99M</t>
  </si>
  <si>
    <t>13.52M</t>
  </si>
  <si>
    <t>14.40M</t>
  </si>
  <si>
    <t>12.07M</t>
  </si>
  <si>
    <t>17.67M</t>
  </si>
  <si>
    <t>4.79M</t>
  </si>
  <si>
    <t>5.53M</t>
  </si>
  <si>
    <t>13.23M</t>
  </si>
  <si>
    <t>13.65M</t>
  </si>
  <si>
    <t>5.93M</t>
  </si>
  <si>
    <t>8.89M</t>
  </si>
  <si>
    <t>11.56M</t>
  </si>
  <si>
    <t>9.41M</t>
  </si>
  <si>
    <t>6.37M</t>
  </si>
  <si>
    <t>20.99M</t>
  </si>
  <si>
    <t>13.81M</t>
  </si>
  <si>
    <t>10.34M</t>
  </si>
  <si>
    <t>12.52M</t>
  </si>
  <si>
    <t>15.00M</t>
  </si>
  <si>
    <t>14.74M</t>
  </si>
  <si>
    <t>10.51M</t>
  </si>
  <si>
    <t>16.44M</t>
  </si>
  <si>
    <t>12.86M</t>
  </si>
  <si>
    <t>14.53M</t>
  </si>
  <si>
    <t>11.11M</t>
  </si>
  <si>
    <t>11.77M</t>
  </si>
  <si>
    <t>9.55M</t>
  </si>
  <si>
    <t>7.03M</t>
  </si>
  <si>
    <t>8.70M</t>
  </si>
  <si>
    <t>9.09M</t>
  </si>
  <si>
    <t>8.97M</t>
  </si>
  <si>
    <t>8.08M</t>
  </si>
  <si>
    <t>14.03M</t>
  </si>
  <si>
    <t>7.08M</t>
  </si>
  <si>
    <t>10.67M</t>
  </si>
  <si>
    <t>19.96M</t>
  </si>
  <si>
    <t>8.48M</t>
  </si>
  <si>
    <t>63.57M</t>
  </si>
  <si>
    <t>52.04M</t>
  </si>
  <si>
    <t>17.17M</t>
  </si>
  <si>
    <t>20.60M</t>
  </si>
  <si>
    <t>17.85M</t>
  </si>
  <si>
    <t>17.54M</t>
  </si>
  <si>
    <t>20.59M</t>
  </si>
  <si>
    <t>15.44M</t>
  </si>
  <si>
    <t>12.36M</t>
  </si>
  <si>
    <t>18.09M</t>
  </si>
  <si>
    <t>21.26M</t>
  </si>
  <si>
    <t>21.50M</t>
  </si>
  <si>
    <t>24.29M</t>
  </si>
  <si>
    <t>25.07M</t>
  </si>
  <si>
    <t>14.71M</t>
  </si>
  <si>
    <t>16.06M</t>
  </si>
  <si>
    <t>12.83M</t>
  </si>
  <si>
    <t>18.28M</t>
  </si>
  <si>
    <t>16.79M</t>
  </si>
  <si>
    <t>32.59M</t>
  </si>
  <si>
    <t>3.13M</t>
  </si>
  <si>
    <t>11.94M</t>
  </si>
  <si>
    <t>34.29M</t>
  </si>
  <si>
    <t>16.65M</t>
  </si>
  <si>
    <t>12.57M</t>
  </si>
  <si>
    <t>7.90M</t>
  </si>
  <si>
    <t>10.28M</t>
  </si>
  <si>
    <t>14.78M</t>
  </si>
  <si>
    <t>11.90M</t>
  </si>
  <si>
    <t>7.25M</t>
  </si>
  <si>
    <t>10.27M</t>
  </si>
  <si>
    <t>8.88M</t>
  </si>
  <si>
    <t>16.74M</t>
  </si>
  <si>
    <t>7.86M</t>
  </si>
  <si>
    <t>10.39M</t>
  </si>
  <si>
    <t>16.37M</t>
  </si>
  <si>
    <t>10.59M</t>
  </si>
  <si>
    <t>19.78M</t>
  </si>
  <si>
    <t>9.81M</t>
  </si>
  <si>
    <t>9.97M</t>
  </si>
  <si>
    <t>8.13M</t>
  </si>
  <si>
    <t>11.95M</t>
  </si>
  <si>
    <t>11.27M</t>
  </si>
  <si>
    <t>10.37M</t>
  </si>
  <si>
    <t>6.72M</t>
  </si>
  <si>
    <t>15.38M</t>
  </si>
  <si>
    <t>13.80M</t>
  </si>
  <si>
    <t>10.31M</t>
  </si>
  <si>
    <t>8.21M</t>
  </si>
  <si>
    <t>12.01M</t>
  </si>
  <si>
    <t>15.92M</t>
  </si>
  <si>
    <t>17.13M</t>
  </si>
  <si>
    <t>9.34M</t>
  </si>
  <si>
    <t>13.96M</t>
  </si>
  <si>
    <t>19.08M</t>
  </si>
  <si>
    <t>14.46M</t>
  </si>
  <si>
    <t>8.71M</t>
  </si>
  <si>
    <t>13.17M</t>
  </si>
  <si>
    <t>7.14M</t>
  </si>
  <si>
    <t>4.21M</t>
  </si>
  <si>
    <t>9.28M</t>
  </si>
  <si>
    <t>7.64M</t>
  </si>
  <si>
    <t>8.42M</t>
  </si>
  <si>
    <t>7.04M</t>
  </si>
  <si>
    <t>12.24M</t>
  </si>
  <si>
    <t>11.84M</t>
  </si>
  <si>
    <t>5.48M</t>
  </si>
  <si>
    <t>9.37M</t>
  </si>
  <si>
    <t>7.39M</t>
  </si>
  <si>
    <t>9.57M</t>
  </si>
  <si>
    <t>7.65M</t>
  </si>
  <si>
    <t>6.12M</t>
  </si>
  <si>
    <t>6.80M</t>
  </si>
  <si>
    <t>6.84M</t>
  </si>
  <si>
    <t>14.58M</t>
  </si>
  <si>
    <t>20.47M</t>
  </si>
  <si>
    <t>18.46M</t>
  </si>
  <si>
    <t>42.27M</t>
  </si>
  <si>
    <t>79.76M</t>
  </si>
  <si>
    <t>35.77M</t>
  </si>
  <si>
    <t>21.25M</t>
  </si>
  <si>
    <t>27.39M</t>
  </si>
  <si>
    <t>9.62M</t>
  </si>
  <si>
    <t>29.80M</t>
  </si>
  <si>
    <t>9.15M</t>
  </si>
  <si>
    <t>13.73M</t>
  </si>
  <si>
    <t>15.56M</t>
  </si>
  <si>
    <t>20.93M</t>
  </si>
  <si>
    <t>15.59M</t>
  </si>
  <si>
    <t>16.59M</t>
  </si>
  <si>
    <t>17.87M</t>
  </si>
  <si>
    <t>17.27M</t>
  </si>
  <si>
    <t>32.63M</t>
  </si>
  <si>
    <t>18.56M</t>
  </si>
  <si>
    <t>17.95M</t>
  </si>
  <si>
    <t>27.66M</t>
  </si>
  <si>
    <t>20.03M</t>
  </si>
  <si>
    <t>26.76M</t>
  </si>
  <si>
    <t>21.80M</t>
  </si>
  <si>
    <t>27.96M</t>
  </si>
  <si>
    <t>61.59M</t>
  </si>
  <si>
    <t>33.26M</t>
  </si>
  <si>
    <t>47.66M</t>
  </si>
  <si>
    <t>50.25M</t>
  </si>
  <si>
    <t>89.75M</t>
  </si>
  <si>
    <t>62.00M</t>
  </si>
  <si>
    <t>51.35M</t>
  </si>
  <si>
    <t>52.57M</t>
  </si>
  <si>
    <t>62.51M</t>
  </si>
  <si>
    <t>58.44M</t>
  </si>
  <si>
    <t>32.64M</t>
  </si>
  <si>
    <t>28.12M</t>
  </si>
  <si>
    <t>42.63M</t>
  </si>
  <si>
    <t>18.14M</t>
  </si>
  <si>
    <t>62.87M</t>
  </si>
  <si>
    <t>36.12M</t>
  </si>
  <si>
    <t>37.56M</t>
  </si>
  <si>
    <t>42.64M</t>
  </si>
  <si>
    <t>17.74M</t>
  </si>
  <si>
    <t>49.09M</t>
  </si>
  <si>
    <t>27.08M</t>
  </si>
  <si>
    <t>26.67M</t>
  </si>
  <si>
    <t>23.33M</t>
  </si>
  <si>
    <t>25.16M</t>
  </si>
  <si>
    <t>32.97M</t>
  </si>
  <si>
    <t>18.05M</t>
  </si>
  <si>
    <t>13.09M</t>
  </si>
  <si>
    <t>17.80M</t>
  </si>
  <si>
    <t>21.46M</t>
  </si>
  <si>
    <t>30.17M</t>
  </si>
  <si>
    <t>30.30M</t>
  </si>
  <si>
    <t>17.71M</t>
  </si>
  <si>
    <t>65.59M</t>
  </si>
  <si>
    <t>24.25M</t>
  </si>
  <si>
    <t>25.31M</t>
  </si>
  <si>
    <t>18.10M</t>
  </si>
  <si>
    <t>21.39M</t>
  </si>
  <si>
    <t>20.02M</t>
  </si>
  <si>
    <t>14.95M</t>
  </si>
  <si>
    <t>20.80M</t>
  </si>
  <si>
    <t>20.14M</t>
  </si>
  <si>
    <t>25.32M</t>
  </si>
  <si>
    <t>58.38M</t>
  </si>
  <si>
    <t>39.01M</t>
  </si>
  <si>
    <t>53.24M</t>
  </si>
  <si>
    <t>24.55M</t>
  </si>
  <si>
    <t>24.58M</t>
  </si>
  <si>
    <t>35.84M</t>
  </si>
  <si>
    <t>28.51M</t>
  </si>
  <si>
    <t>22.63M</t>
  </si>
  <si>
    <t>18.98M</t>
  </si>
  <si>
    <t>22.00M</t>
  </si>
  <si>
    <t>14.63M</t>
  </si>
  <si>
    <t>19.56M</t>
  </si>
  <si>
    <t>39.91M</t>
  </si>
  <si>
    <t>27.20M</t>
  </si>
  <si>
    <t>19.85M</t>
  </si>
  <si>
    <t>22.56M</t>
  </si>
  <si>
    <t>24.46M</t>
  </si>
  <si>
    <t>27.64M</t>
  </si>
  <si>
    <t>24.03M</t>
  </si>
  <si>
    <t>28.89M</t>
  </si>
  <si>
    <t>30.53M</t>
  </si>
  <si>
    <t>31.40M</t>
  </si>
  <si>
    <t>26.55M</t>
  </si>
  <si>
    <t>54.65M</t>
  </si>
  <si>
    <t>75.58M</t>
  </si>
  <si>
    <t>71.96M</t>
  </si>
  <si>
    <t>91.50M</t>
  </si>
  <si>
    <t>41.22M</t>
  </si>
  <si>
    <t>44.30M</t>
  </si>
  <si>
    <t>39.32M</t>
  </si>
  <si>
    <t>37.90M</t>
  </si>
  <si>
    <t>34.71M</t>
  </si>
  <si>
    <t>31.28M</t>
  </si>
  <si>
    <t>21.28M</t>
  </si>
  <si>
    <t>18.77M</t>
  </si>
  <si>
    <t>16.19M</t>
  </si>
  <si>
    <t>20.30M</t>
  </si>
  <si>
    <t>18.48M</t>
  </si>
  <si>
    <t>23.78M</t>
  </si>
  <si>
    <t>22.14M</t>
  </si>
  <si>
    <t>14.88M</t>
  </si>
  <si>
    <t>18.92M</t>
  </si>
  <si>
    <t>28.01M</t>
  </si>
  <si>
    <t>32.57M</t>
  </si>
  <si>
    <t>31.49M</t>
  </si>
  <si>
    <t>60.19M</t>
  </si>
  <si>
    <t>22.65M</t>
  </si>
  <si>
    <t>19.29M</t>
  </si>
  <si>
    <t>14.83M</t>
  </si>
  <si>
    <t>16.32M</t>
  </si>
  <si>
    <t>17.19M</t>
  </si>
  <si>
    <t>48.77M</t>
  </si>
  <si>
    <t>20.91M</t>
  </si>
  <si>
    <t>16.47M</t>
  </si>
  <si>
    <t>55.14M</t>
  </si>
  <si>
    <t>21.29M</t>
  </si>
  <si>
    <t>22.70M</t>
  </si>
  <si>
    <t>28.75M</t>
  </si>
  <si>
    <t>11.74M</t>
  </si>
  <si>
    <t>12.49M</t>
  </si>
  <si>
    <t>15.47M</t>
  </si>
  <si>
    <t>16.91M</t>
  </si>
  <si>
    <t>17.23M</t>
  </si>
  <si>
    <t>15.20M</t>
  </si>
  <si>
    <t>47.21M</t>
  </si>
  <si>
    <t>34.65M</t>
  </si>
  <si>
    <t>97.00M</t>
  </si>
  <si>
    <t>39.78M</t>
  </si>
  <si>
    <t>15.69M</t>
  </si>
  <si>
    <t>41.39M</t>
  </si>
  <si>
    <t>32.66M</t>
  </si>
  <si>
    <t>25.59M</t>
  </si>
  <si>
    <t>27.83M</t>
  </si>
  <si>
    <t>17.79M</t>
  </si>
  <si>
    <t>19.26M</t>
  </si>
  <si>
    <t>30.99M</t>
  </si>
  <si>
    <t>30.77M</t>
  </si>
  <si>
    <t>50.65M</t>
  </si>
  <si>
    <t>33.94M</t>
  </si>
  <si>
    <t>29.78M</t>
  </si>
  <si>
    <t>23.89M</t>
  </si>
  <si>
    <t>18.53M</t>
  </si>
  <si>
    <t>61.79M</t>
  </si>
  <si>
    <t>26.63M</t>
  </si>
  <si>
    <t>23.19M</t>
  </si>
  <si>
    <t>25.62M</t>
  </si>
  <si>
    <t>19.76M</t>
  </si>
  <si>
    <t>24.30M</t>
  </si>
  <si>
    <t>21.89M</t>
  </si>
  <si>
    <t>16.29M</t>
  </si>
  <si>
    <t>25.50M</t>
  </si>
  <si>
    <t>22.37M</t>
  </si>
  <si>
    <t>66.25M</t>
  </si>
  <si>
    <t>35.69M</t>
  </si>
  <si>
    <t>38.22M</t>
  </si>
  <si>
    <t>27.12M</t>
  </si>
  <si>
    <t>20.23M</t>
  </si>
  <si>
    <t>19.02M</t>
  </si>
  <si>
    <t>16.15M</t>
  </si>
  <si>
    <t>16.48M</t>
  </si>
  <si>
    <t>22.04M</t>
  </si>
  <si>
    <t>20.15M</t>
  </si>
  <si>
    <t>16.08M</t>
  </si>
  <si>
    <t>45.89M</t>
  </si>
  <si>
    <t>16.82M</t>
  </si>
  <si>
    <t>21.01M</t>
  </si>
  <si>
    <t>16.35M</t>
  </si>
  <si>
    <t>14.37M</t>
  </si>
  <si>
    <t>22.60M</t>
  </si>
  <si>
    <t>18.81M</t>
  </si>
  <si>
    <t>27.00M</t>
  </si>
  <si>
    <t>34.25M</t>
  </si>
  <si>
    <t>35.29M</t>
  </si>
  <si>
    <t>57.46M</t>
  </si>
  <si>
    <t>63.32M</t>
  </si>
  <si>
    <t>46.37M</t>
  </si>
  <si>
    <t>28.20M</t>
  </si>
  <si>
    <t>7.77M</t>
  </si>
  <si>
    <t>20.95M</t>
  </si>
  <si>
    <t>26.60M</t>
  </si>
  <si>
    <t>48.98M</t>
  </si>
  <si>
    <t>45.31M</t>
  </si>
  <si>
    <t>23.18M</t>
  </si>
  <si>
    <t>45.41M</t>
  </si>
  <si>
    <t>41.66M</t>
  </si>
  <si>
    <t>24.22M</t>
  </si>
  <si>
    <t>31.39M</t>
  </si>
  <si>
    <t>15.89M</t>
  </si>
  <si>
    <t>28.43M</t>
  </si>
  <si>
    <t>22.15M</t>
  </si>
  <si>
    <t>30.85M</t>
  </si>
  <si>
    <t>39.68M</t>
  </si>
  <si>
    <t>65.23M</t>
  </si>
  <si>
    <t>60.32M</t>
  </si>
  <si>
    <t>26.99M</t>
  </si>
  <si>
    <t>23.26M</t>
  </si>
  <si>
    <t>19.55M</t>
  </si>
  <si>
    <t>22.39M</t>
  </si>
  <si>
    <t>41.83M</t>
  </si>
  <si>
    <t>40.99M</t>
  </si>
  <si>
    <t>23.70M</t>
  </si>
  <si>
    <t>22.77M</t>
  </si>
  <si>
    <t>15.74M</t>
  </si>
  <si>
    <t>18.93M</t>
  </si>
  <si>
    <t>18.25M</t>
  </si>
  <si>
    <t>19.53M</t>
  </si>
  <si>
    <t>26.89M</t>
  </si>
  <si>
    <t>18.02M</t>
  </si>
  <si>
    <t>49.07M</t>
  </si>
  <si>
    <t>34.95M</t>
  </si>
  <si>
    <t>56.43M</t>
  </si>
  <si>
    <t>42.97M</t>
  </si>
  <si>
    <t>35.62M</t>
  </si>
  <si>
    <t>63.93M</t>
  </si>
  <si>
    <t>48.30M</t>
  </si>
  <si>
    <t>58.32M</t>
  </si>
  <si>
    <t>67.61M</t>
  </si>
  <si>
    <t>31.79M</t>
  </si>
  <si>
    <t>44.67M</t>
  </si>
  <si>
    <t>29.00M</t>
  </si>
  <si>
    <t>24.71M</t>
  </si>
  <si>
    <t>24.97M</t>
  </si>
  <si>
    <t>48.47M</t>
  </si>
  <si>
    <t>22.13M</t>
  </si>
  <si>
    <t>23.76M</t>
  </si>
  <si>
    <t>57.74M</t>
  </si>
  <si>
    <t>48.46M</t>
  </si>
  <si>
    <t>53.64M</t>
  </si>
  <si>
    <t>105.82M</t>
  </si>
  <si>
    <t>125.49M</t>
  </si>
  <si>
    <t>41.50M</t>
  </si>
  <si>
    <t>70.66M</t>
  </si>
  <si>
    <t>47.28M</t>
  </si>
  <si>
    <t>43.63M</t>
  </si>
  <si>
    <t>110.57M</t>
  </si>
  <si>
    <t>31.78M</t>
  </si>
  <si>
    <t>29.15M</t>
  </si>
  <si>
    <t>24.07M</t>
  </si>
  <si>
    <t>28.13M</t>
  </si>
  <si>
    <t>51.55M</t>
  </si>
  <si>
    <t>26.68M</t>
  </si>
  <si>
    <t>13.16M</t>
  </si>
  <si>
    <t>25.95M</t>
  </si>
  <si>
    <t>43.43M</t>
  </si>
  <si>
    <t>16.23M</t>
  </si>
  <si>
    <t>25.60M</t>
  </si>
  <si>
    <t>20.85M</t>
  </si>
  <si>
    <t>24.90M</t>
  </si>
  <si>
    <t>17.32M</t>
  </si>
  <si>
    <t>22.99M</t>
  </si>
  <si>
    <t>22.59M</t>
  </si>
  <si>
    <t>19.60M</t>
  </si>
  <si>
    <t>30.79M</t>
  </si>
  <si>
    <t>41.12M</t>
  </si>
  <si>
    <t>48.76M</t>
  </si>
  <si>
    <t>78.58M</t>
  </si>
  <si>
    <t>91.99M</t>
  </si>
  <si>
    <t>134.18M</t>
  </si>
  <si>
    <t>46.05M</t>
  </si>
  <si>
    <t>41.56M</t>
  </si>
  <si>
    <t>27.61M</t>
  </si>
  <si>
    <t>40.68M</t>
  </si>
  <si>
    <t>26.08M</t>
  </si>
  <si>
    <t>27.79M</t>
  </si>
  <si>
    <t>36.49M</t>
  </si>
  <si>
    <t>29.06M</t>
  </si>
  <si>
    <t>25.67M</t>
  </si>
  <si>
    <t>14.12M</t>
  </si>
  <si>
    <t>16.36M</t>
  </si>
  <si>
    <t>34.51M</t>
  </si>
  <si>
    <t>20.25M</t>
  </si>
  <si>
    <t>17.53M</t>
  </si>
  <si>
    <t>13.31M</t>
  </si>
  <si>
    <t>15.79M</t>
  </si>
  <si>
    <t>21.36M</t>
  </si>
  <si>
    <t>23.14M</t>
  </si>
  <si>
    <t>19.63M</t>
  </si>
  <si>
    <t>12.71M</t>
  </si>
  <si>
    <t>13.10M</t>
  </si>
  <si>
    <t>16.50M</t>
  </si>
  <si>
    <t>20.61M</t>
  </si>
  <si>
    <t>18.26M</t>
  </si>
  <si>
    <t>13.86M</t>
  </si>
  <si>
    <t>14.32M</t>
  </si>
  <si>
    <t>19.46M</t>
  </si>
  <si>
    <t>16.30M</t>
  </si>
  <si>
    <t>13.75M</t>
  </si>
  <si>
    <t>16.54M</t>
  </si>
  <si>
    <t>61.65M</t>
  </si>
  <si>
    <t>38.00M</t>
  </si>
  <si>
    <t>30.48M</t>
  </si>
  <si>
    <t>24.41M</t>
  </si>
  <si>
    <t>20.88M</t>
  </si>
  <si>
    <t>22.64M</t>
  </si>
  <si>
    <t>28.87M</t>
  </si>
  <si>
    <t>25.33M</t>
  </si>
  <si>
    <t>17.58M</t>
  </si>
  <si>
    <t>47.55M</t>
  </si>
  <si>
    <t>73.04M</t>
  </si>
  <si>
    <t>38.76M</t>
  </si>
  <si>
    <t>96.65M</t>
  </si>
  <si>
    <t>46.66M</t>
  </si>
  <si>
    <t>30.13M</t>
  </si>
  <si>
    <t>31.43M</t>
  </si>
  <si>
    <t>24.89M</t>
  </si>
  <si>
    <t>30.72M</t>
  </si>
  <si>
    <t>21.42M</t>
  </si>
  <si>
    <t>17.68M</t>
  </si>
  <si>
    <t>14.85M</t>
  </si>
  <si>
    <t>20.10M</t>
  </si>
  <si>
    <t>23.57M</t>
  </si>
  <si>
    <t>19.07M</t>
  </si>
  <si>
    <t>18.04M</t>
  </si>
  <si>
    <t>12.58M</t>
  </si>
  <si>
    <t>22.44M</t>
  </si>
  <si>
    <t>13.88M</t>
  </si>
  <si>
    <t>13.33M</t>
  </si>
  <si>
    <t>15.94M</t>
  </si>
  <si>
    <t>10.19M</t>
  </si>
  <si>
    <t>12.70M</t>
  </si>
  <si>
    <t>10.25M</t>
  </si>
  <si>
    <t>11.09M</t>
  </si>
  <si>
    <t>17.88M</t>
  </si>
  <si>
    <t>11.83M</t>
  </si>
  <si>
    <t>10.83M</t>
  </si>
  <si>
    <t>20.48M</t>
  </si>
  <si>
    <t>28.85M</t>
  </si>
  <si>
    <t>29.02M</t>
  </si>
  <si>
    <t>16.46M</t>
  </si>
  <si>
    <t>23.66M</t>
  </si>
  <si>
    <t>18.31M</t>
  </si>
  <si>
    <t>44.53M</t>
  </si>
  <si>
    <t>47.26M</t>
  </si>
  <si>
    <t>24.44M</t>
  </si>
  <si>
    <t>14.94M</t>
  </si>
  <si>
    <t>9.67M</t>
  </si>
  <si>
    <t>18.47M</t>
  </si>
  <si>
    <t>11.00M</t>
  </si>
  <si>
    <t>47.18M</t>
  </si>
  <si>
    <t>23.58M</t>
  </si>
  <si>
    <t>20.36M</t>
  </si>
  <si>
    <t>18.16M</t>
  </si>
  <si>
    <t>15.42M</t>
  </si>
  <si>
    <t>27.69M</t>
  </si>
  <si>
    <t>18.85M</t>
  </si>
  <si>
    <t>10.74M</t>
  </si>
  <si>
    <t>19.42M</t>
  </si>
  <si>
    <t>9.94M</t>
  </si>
  <si>
    <t>14.84M</t>
  </si>
  <si>
    <t>10.48M</t>
  </si>
  <si>
    <t>25.81M</t>
  </si>
  <si>
    <t>16.24M</t>
  </si>
  <si>
    <t>10.23M</t>
  </si>
  <si>
    <t>10.63M</t>
  </si>
  <si>
    <t>37.49M</t>
  </si>
  <si>
    <t>19.05M</t>
  </si>
  <si>
    <t>16.04M</t>
  </si>
  <si>
    <t>19.62M</t>
  </si>
  <si>
    <t>149.24M</t>
  </si>
  <si>
    <t>79.50M</t>
  </si>
  <si>
    <t>70.39M</t>
  </si>
  <si>
    <t>56.67M</t>
  </si>
  <si>
    <t>52.62M</t>
  </si>
  <si>
    <t>21.79M</t>
  </si>
  <si>
    <t>24.82M</t>
  </si>
  <si>
    <t>22.89M</t>
  </si>
  <si>
    <t>15.71M</t>
  </si>
  <si>
    <t>15.45M</t>
  </si>
  <si>
    <t>15.96M</t>
  </si>
  <si>
    <t>10.69M</t>
  </si>
  <si>
    <t>9.22M</t>
  </si>
  <si>
    <t>17.51M</t>
  </si>
  <si>
    <t>9.74M</t>
  </si>
  <si>
    <t>21.18M</t>
  </si>
  <si>
    <t>29.22M</t>
  </si>
  <si>
    <t>50.16M</t>
  </si>
  <si>
    <t>85.41M</t>
  </si>
  <si>
    <t>60.29M</t>
  </si>
  <si>
    <t>59.06M</t>
  </si>
  <si>
    <t>47.82M</t>
  </si>
  <si>
    <t>22.52M</t>
  </si>
  <si>
    <t>35.54M</t>
  </si>
  <si>
    <t>22.33M</t>
  </si>
  <si>
    <t>25.91M</t>
  </si>
  <si>
    <t>46.28M</t>
  </si>
  <si>
    <t>26.64M</t>
  </si>
  <si>
    <t>23.20M</t>
  </si>
  <si>
    <t>14.34M</t>
  </si>
  <si>
    <t>17.84M</t>
  </si>
  <si>
    <t>7.02M</t>
  </si>
  <si>
    <t>20.27M</t>
  </si>
  <si>
    <t>11.52M</t>
  </si>
  <si>
    <t>11.86M</t>
  </si>
  <si>
    <t>14.68M</t>
  </si>
  <si>
    <t>46.70M</t>
  </si>
  <si>
    <t>22.57M</t>
  </si>
  <si>
    <t>23.90M</t>
  </si>
  <si>
    <t>27.03M</t>
  </si>
  <si>
    <t>23.50M</t>
  </si>
  <si>
    <t>13.00M</t>
  </si>
  <si>
    <t>15.90M</t>
  </si>
  <si>
    <t>13.79M</t>
  </si>
  <si>
    <t>13.14M</t>
  </si>
  <si>
    <t>9.86M</t>
  </si>
  <si>
    <t>38.24M</t>
  </si>
  <si>
    <t>35.16M</t>
  </si>
  <si>
    <t>22.05M</t>
  </si>
  <si>
    <t>37.51M</t>
  </si>
  <si>
    <t>24.20M</t>
  </si>
  <si>
    <t>29.68M</t>
  </si>
  <si>
    <t>37.34M</t>
  </si>
  <si>
    <t>19.40M</t>
  </si>
  <si>
    <t>17.24M</t>
  </si>
  <si>
    <t>22.21M</t>
  </si>
  <si>
    <t>16.58M</t>
  </si>
  <si>
    <t>8.15M</t>
  </si>
  <si>
    <t>11.57M</t>
  </si>
  <si>
    <t>7.58M</t>
  </si>
  <si>
    <t>11.23M</t>
  </si>
  <si>
    <t>15.84M</t>
  </si>
  <si>
    <t>11.50M</t>
  </si>
  <si>
    <t>12.32M</t>
  </si>
  <si>
    <t>14.39M</t>
  </si>
  <si>
    <t>11.47M</t>
  </si>
  <si>
    <t>17.33M</t>
  </si>
  <si>
    <t>17.35M</t>
  </si>
  <si>
    <t>18.32M</t>
  </si>
  <si>
    <t>23.15M</t>
  </si>
  <si>
    <t>15.28M</t>
  </si>
  <si>
    <t>15.04M</t>
  </si>
  <si>
    <t>41.13M</t>
  </si>
  <si>
    <t>27.85M</t>
  </si>
  <si>
    <t>56.71M</t>
  </si>
  <si>
    <t>24.17M</t>
  </si>
  <si>
    <t>16.20M</t>
  </si>
  <si>
    <t>11.89M</t>
  </si>
  <si>
    <t>22.75M</t>
  </si>
  <si>
    <t>12.88M</t>
  </si>
  <si>
    <t>14.02M</t>
  </si>
  <si>
    <t>8.67M</t>
  </si>
  <si>
    <t>16.13M</t>
  </si>
  <si>
    <t>25.75M</t>
  </si>
  <si>
    <t>41.34M</t>
  </si>
  <si>
    <t>23.63M</t>
  </si>
  <si>
    <t>19.30M</t>
  </si>
  <si>
    <t>28.53M</t>
  </si>
  <si>
    <t>66.84M</t>
  </si>
  <si>
    <t>45.26M</t>
  </si>
  <si>
    <t>36.04M</t>
  </si>
  <si>
    <t>42.29M</t>
  </si>
  <si>
    <t>36.13M</t>
  </si>
  <si>
    <t>41.70M</t>
  </si>
  <si>
    <t>35.11M</t>
  </si>
  <si>
    <t>33.00M</t>
  </si>
  <si>
    <t>21.63M</t>
  </si>
  <si>
    <t>34.22M</t>
  </si>
  <si>
    <t>27.98M</t>
  </si>
  <si>
    <t>36.95M</t>
  </si>
  <si>
    <t>40.49M</t>
  </si>
  <si>
    <t>29.28M</t>
  </si>
  <si>
    <t>24.92M</t>
  </si>
  <si>
    <t>17.60M</t>
  </si>
  <si>
    <t>25.66M</t>
  </si>
  <si>
    <t>14.31M</t>
  </si>
  <si>
    <t>15.91M</t>
  </si>
  <si>
    <t>27.18M</t>
  </si>
  <si>
    <t>37.83M</t>
  </si>
  <si>
    <t>46.15M</t>
  </si>
  <si>
    <t>23.55M</t>
  </si>
  <si>
    <t>21.41M</t>
  </si>
  <si>
    <t>24.40M</t>
  </si>
  <si>
    <t>23.38M</t>
  </si>
  <si>
    <t>24.51M</t>
  </si>
  <si>
    <t>23.41M</t>
  </si>
  <si>
    <t>15.67M</t>
  </si>
  <si>
    <t>24.21M</t>
  </si>
  <si>
    <t>20.54M</t>
  </si>
  <si>
    <t>27.92M</t>
  </si>
  <si>
    <t>20.42M</t>
  </si>
  <si>
    <t>18.97M</t>
  </si>
  <si>
    <t>34.49M</t>
  </si>
  <si>
    <t>18.03M</t>
  </si>
  <si>
    <t>17.34M</t>
  </si>
  <si>
    <t>20.04M</t>
  </si>
  <si>
    <t>11.92M</t>
  </si>
  <si>
    <t>8.19M</t>
  </si>
  <si>
    <t>20.20M</t>
  </si>
  <si>
    <t>78.29M</t>
  </si>
  <si>
    <t>32.37M</t>
  </si>
  <si>
    <t>21.70M</t>
  </si>
  <si>
    <t>15.55M</t>
  </si>
  <si>
    <t>15.29M</t>
  </si>
  <si>
    <t>18.42M</t>
  </si>
  <si>
    <t>13.47M</t>
  </si>
  <si>
    <t>11.82M</t>
  </si>
  <si>
    <t>23.21M</t>
  </si>
  <si>
    <t>14.70M</t>
  </si>
  <si>
    <t>14.24M</t>
  </si>
  <si>
    <t>10.93M</t>
  </si>
  <si>
    <t>14.36M</t>
  </si>
  <si>
    <t>8.37M</t>
  </si>
  <si>
    <t>5.06M</t>
  </si>
  <si>
    <t>17.08M</t>
  </si>
  <si>
    <t>11.32M</t>
  </si>
  <si>
    <t>9.07M</t>
  </si>
  <si>
    <t>7.01M</t>
  </si>
  <si>
    <t>8.17M</t>
  </si>
  <si>
    <t>11.24M</t>
  </si>
  <si>
    <t>16.02M</t>
  </si>
  <si>
    <t>35.17M</t>
  </si>
  <si>
    <t>39.88M</t>
  </si>
  <si>
    <t>18.57M</t>
  </si>
  <si>
    <t>18.29M</t>
  </si>
  <si>
    <t>12.35M</t>
  </si>
  <si>
    <t>14.07M</t>
  </si>
  <si>
    <t>13.41M</t>
  </si>
  <si>
    <t>11.03M</t>
  </si>
  <si>
    <t>9.19M</t>
  </si>
  <si>
    <t>10.64M</t>
  </si>
  <si>
    <t>9.35M</t>
  </si>
  <si>
    <t>16.93M</t>
  </si>
  <si>
    <t>38.98M</t>
  </si>
  <si>
    <t>17.70M</t>
  </si>
  <si>
    <t>10.09M</t>
  </si>
  <si>
    <t>8.31M</t>
  </si>
  <si>
    <t>8.92M</t>
  </si>
  <si>
    <t>10.89M</t>
  </si>
  <si>
    <t>6.42M</t>
  </si>
  <si>
    <t>8.61M</t>
  </si>
  <si>
    <t>7.98M</t>
  </si>
  <si>
    <t>9.88M</t>
  </si>
  <si>
    <t>10.42M</t>
  </si>
  <si>
    <t>11.36M</t>
  </si>
  <si>
    <t>11.35M</t>
  </si>
  <si>
    <t>7.76M</t>
  </si>
  <si>
    <t>6.96M</t>
  </si>
  <si>
    <t>17.83M</t>
  </si>
  <si>
    <t>13.25M</t>
  </si>
  <si>
    <t>25.76M</t>
  </si>
  <si>
    <t>17.47M</t>
  </si>
  <si>
    <t>11.97M</t>
  </si>
  <si>
    <t>8.09M</t>
  </si>
  <si>
    <t>10.91M</t>
  </si>
  <si>
    <t>12.27M</t>
  </si>
  <si>
    <t>9.53M</t>
  </si>
  <si>
    <t>24.18M</t>
  </si>
  <si>
    <t>22.84M</t>
  </si>
  <si>
    <t>16.21M</t>
  </si>
  <si>
    <t>12.43M</t>
  </si>
  <si>
    <t>9.11M</t>
  </si>
  <si>
    <t>8.80M</t>
  </si>
  <si>
    <t>22.24M</t>
  </si>
  <si>
    <t>9.39M</t>
  </si>
  <si>
    <t>7.27M</t>
  </si>
  <si>
    <t>6.93M</t>
  </si>
  <si>
    <t>20.89M</t>
  </si>
  <si>
    <t>27.37M</t>
  </si>
  <si>
    <t>3.17M</t>
  </si>
  <si>
    <t>13.07M</t>
  </si>
  <si>
    <t>13.83M</t>
  </si>
  <si>
    <t>19.67M</t>
  </si>
  <si>
    <t>16.78M</t>
  </si>
  <si>
    <t>8.39M</t>
  </si>
  <si>
    <t>10.05M</t>
  </si>
  <si>
    <t>19.33M</t>
  </si>
  <si>
    <t>10.95M</t>
  </si>
  <si>
    <t>17.64M</t>
  </si>
  <si>
    <t>7.60M</t>
  </si>
  <si>
    <t>7.84M</t>
  </si>
  <si>
    <t>9.20M</t>
  </si>
  <si>
    <t>6.50M</t>
  </si>
  <si>
    <t>8.14M</t>
  </si>
  <si>
    <t>9.90M</t>
  </si>
  <si>
    <t>16.63M</t>
  </si>
  <si>
    <t>9.72M</t>
  </si>
  <si>
    <t>6.33M</t>
  </si>
  <si>
    <t>11.21M</t>
  </si>
  <si>
    <t>6.58M</t>
  </si>
  <si>
    <t>10.07M</t>
  </si>
  <si>
    <t>6.73M</t>
  </si>
  <si>
    <t>7.74M</t>
  </si>
  <si>
    <t>6.00M</t>
  </si>
  <si>
    <t>6.69M</t>
  </si>
  <si>
    <t>8.28M</t>
  </si>
  <si>
    <t>10.62M</t>
  </si>
  <si>
    <t>6.95M</t>
  </si>
  <si>
    <t>4.58M</t>
  </si>
  <si>
    <t>6.64M</t>
  </si>
  <si>
    <t>14.41M</t>
  </si>
  <si>
    <t>13.71M</t>
  </si>
  <si>
    <t>12.56M</t>
  </si>
  <si>
    <t>8.35M</t>
  </si>
  <si>
    <t>7.12M</t>
  </si>
  <si>
    <t>12.30M</t>
  </si>
  <si>
    <t>12.50M</t>
  </si>
  <si>
    <t>21.04M</t>
  </si>
  <si>
    <t>14.09M</t>
  </si>
  <si>
    <t>64.52M</t>
  </si>
  <si>
    <t>55.75M</t>
  </si>
  <si>
    <t>22.30M</t>
  </si>
  <si>
    <t>25.79M</t>
  </si>
  <si>
    <t>20.64M</t>
  </si>
  <si>
    <t>29.13M</t>
  </si>
  <si>
    <t>12.21M</t>
  </si>
  <si>
    <t>9.78M</t>
  </si>
  <si>
    <t>7.67M</t>
  </si>
  <si>
    <t>8.26M</t>
  </si>
  <si>
    <t>8.96M</t>
  </si>
  <si>
    <t>18.83M</t>
  </si>
  <si>
    <t>12.91M</t>
  </si>
  <si>
    <t>5.02M</t>
  </si>
  <si>
    <t>8.18M</t>
  </si>
  <si>
    <t>10.71M</t>
  </si>
  <si>
    <t>9.63M</t>
  </si>
  <si>
    <t>8.36M</t>
  </si>
  <si>
    <t>8.79M</t>
  </si>
  <si>
    <t>48.90M</t>
  </si>
  <si>
    <t>10.12M</t>
  </si>
  <si>
    <t>11.61M</t>
  </si>
  <si>
    <t>4.77M</t>
  </si>
  <si>
    <t>10.82M</t>
  </si>
  <si>
    <t>10.16M</t>
  </si>
  <si>
    <t>9.51M</t>
  </si>
  <si>
    <t>7.06M</t>
  </si>
  <si>
    <t>12.90M</t>
  </si>
  <si>
    <t>6.78M</t>
  </si>
  <si>
    <t>18.24M</t>
  </si>
  <si>
    <t>11.04M</t>
  </si>
  <si>
    <t>9.49M</t>
  </si>
  <si>
    <t>14.25M</t>
  </si>
  <si>
    <t>7.62M</t>
  </si>
  <si>
    <t>12.72M</t>
  </si>
  <si>
    <t>7.33M</t>
  </si>
  <si>
    <t>12.41M</t>
  </si>
  <si>
    <t>7.24M</t>
  </si>
  <si>
    <t>15.98M</t>
  </si>
  <si>
    <t>11.14M</t>
  </si>
  <si>
    <t>9.48M</t>
  </si>
  <si>
    <t>24.00M</t>
  </si>
  <si>
    <t>25.77M</t>
  </si>
  <si>
    <t>8.73M</t>
  </si>
  <si>
    <t>18.20M</t>
  </si>
  <si>
    <t>19.83M</t>
  </si>
  <si>
    <t>18.90M</t>
  </si>
  <si>
    <t>14.27M</t>
  </si>
  <si>
    <t>7.15M</t>
  </si>
  <si>
    <t>6.45M</t>
  </si>
  <si>
    <t>7.54M</t>
  </si>
  <si>
    <t>8.72M</t>
  </si>
  <si>
    <t>16.11M</t>
  </si>
  <si>
    <t>11.73M</t>
  </si>
  <si>
    <t>4.19M</t>
  </si>
  <si>
    <t>4.47M</t>
  </si>
  <si>
    <t>6.09M</t>
  </si>
  <si>
    <t>4.87M</t>
  </si>
  <si>
    <t>10.70M</t>
  </si>
  <si>
    <t>7.73M</t>
  </si>
  <si>
    <t>16.25M</t>
  </si>
  <si>
    <t>9.47M</t>
  </si>
  <si>
    <t>7.32M</t>
  </si>
  <si>
    <t>6.52M</t>
  </si>
  <si>
    <t>12.34M</t>
  </si>
  <si>
    <t>5.08M</t>
  </si>
  <si>
    <t>5.35M</t>
  </si>
  <si>
    <t>13.87M</t>
  </si>
  <si>
    <t>13.97M</t>
  </si>
  <si>
    <t>43.53M</t>
  </si>
  <si>
    <t>13.99M</t>
  </si>
  <si>
    <t>6.44M</t>
  </si>
  <si>
    <t>10.32M</t>
  </si>
  <si>
    <t>6.83M</t>
  </si>
  <si>
    <t>9.16M</t>
  </si>
  <si>
    <t>6.39M</t>
  </si>
  <si>
    <t>11.58M</t>
  </si>
  <si>
    <t>7.56M</t>
  </si>
  <si>
    <t>14.92M</t>
  </si>
  <si>
    <t>16.27M</t>
  </si>
  <si>
    <t>19.32M</t>
  </si>
  <si>
    <t>9.27M</t>
  </si>
  <si>
    <t>6.91M</t>
  </si>
  <si>
    <t>7.36M</t>
  </si>
  <si>
    <t>19.90M</t>
  </si>
  <si>
    <t>13.60M</t>
  </si>
  <si>
    <t>8.38M</t>
  </si>
  <si>
    <t>9.32M</t>
  </si>
  <si>
    <t>11.81M</t>
  </si>
  <si>
    <t>Vol</t>
  </si>
  <si>
    <t>Volumes - 5Y</t>
  </si>
  <si>
    <t>Shareholder's name</t>
  </si>
  <si>
    <t>Total Shares Held</t>
  </si>
  <si>
    <t>Shareholding (%)</t>
  </si>
  <si>
    <t>Quarter Ending</t>
  </si>
  <si>
    <t>Tobacco Manufacturers (India) Limited</t>
  </si>
  <si>
    <t>Life Insurance Corporation of India</t>
  </si>
  <si>
    <t>Specified Undertaking of the Unit Trust of India</t>
  </si>
  <si>
    <t>Myddleton Investment Company Limited</t>
  </si>
  <si>
    <t>SBI Mutual Funds</t>
  </si>
  <si>
    <t>QIB - Insurance Company Registered</t>
  </si>
  <si>
    <t>ICICI Prudential Mutual Funds</t>
  </si>
  <si>
    <t>GQG Partners Emerging Markets Equity Fund</t>
  </si>
  <si>
    <t>General Insurance Corporation of India</t>
  </si>
  <si>
    <t>Goldman Sachs Trust II - Goldman Sachs GQG Partners International Opportunities Fund</t>
  </si>
  <si>
    <t>Top 10 Shareholders</t>
  </si>
  <si>
    <t>N. Share (in Crs)</t>
  </si>
  <si>
    <t>Market value (in Crs)</t>
  </si>
  <si>
    <r>
      <t>FIIs </t>
    </r>
    <r>
      <rPr>
        <sz val="11"/>
        <color rgb="FF665EFD"/>
        <rFont val="Arial"/>
        <family val="2"/>
      </rPr>
      <t>+</t>
    </r>
  </si>
  <si>
    <r>
      <t>DIIs </t>
    </r>
    <r>
      <rPr>
        <sz val="11"/>
        <color rgb="FF665EFD"/>
        <rFont val="Arial"/>
        <family val="2"/>
      </rPr>
      <t>+</t>
    </r>
  </si>
  <si>
    <r>
      <t>Government </t>
    </r>
    <r>
      <rPr>
        <sz val="11"/>
        <color rgb="FF665EFD"/>
        <rFont val="Arial"/>
        <family val="2"/>
      </rPr>
      <t>+</t>
    </r>
  </si>
  <si>
    <r>
      <t>Public </t>
    </r>
    <r>
      <rPr>
        <sz val="11"/>
        <color rgb="FF665EFD"/>
        <rFont val="Arial"/>
        <family val="2"/>
      </rPr>
      <t>+</t>
    </r>
  </si>
  <si>
    <t>No. of Shareholders</t>
  </si>
  <si>
    <t>FIIs </t>
  </si>
  <si>
    <t>DIIs </t>
  </si>
  <si>
    <t>Public </t>
  </si>
  <si>
    <t xml:space="preserve">Goldman Sachs Trust II </t>
  </si>
  <si>
    <t>Shareholding Pattern</t>
  </si>
  <si>
    <t>Capital Structure</t>
  </si>
  <si>
    <t>Share Price as on XXX</t>
  </si>
  <si>
    <t>Number of Shares o/s</t>
  </si>
  <si>
    <t xml:space="preserve">Market Capitalization </t>
  </si>
  <si>
    <t xml:space="preserve">Less: Cash &amp; Equivalents </t>
  </si>
  <si>
    <t>Add: Total Debt</t>
  </si>
  <si>
    <t>Add: Minority Interest</t>
  </si>
  <si>
    <t>Enterprise Value</t>
  </si>
  <si>
    <t>S Puri</t>
  </si>
  <si>
    <t xml:space="preserve">N Anand </t>
  </si>
  <si>
    <t>S Dutta</t>
  </si>
  <si>
    <t>B Sumant</t>
  </si>
  <si>
    <t>Remuneration</t>
  </si>
  <si>
    <t>Designation</t>
  </si>
  <si>
    <t xml:space="preserve">X of Median Salary </t>
  </si>
  <si>
    <t>CMD</t>
  </si>
  <si>
    <t>ED &amp; CFO</t>
  </si>
  <si>
    <t xml:space="preserve">Executive Director(ED) </t>
  </si>
  <si>
    <t xml:space="preserve">ED </t>
  </si>
  <si>
    <t>326:1</t>
  </si>
  <si>
    <t>144:1</t>
  </si>
  <si>
    <t>88:1</t>
  </si>
  <si>
    <t>152:1</t>
  </si>
  <si>
    <t>Recent Update</t>
  </si>
  <si>
    <t xml:space="preserve">ITC - Owned Yoga Bar Enters Baby Food Segment under the brand name of Yoga Baby </t>
  </si>
  <si>
    <t>ITC Invest close to 3,000 Crore in Welcomhotels Sri Lanka</t>
  </si>
  <si>
    <t xml:space="preserve">Mankind Agritech and ITC Collaborate to elevate Indian agriculture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</si>
</sst>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_ ;\-#,##0\ "/>
    <numFmt numFmtId="167" formatCode="_ * #,##0.0_ ;_ * \-#,##0.0_ ;_ * &quot;-&quot;??_ ;_ @_ "/>
    <numFmt numFmtId="168" formatCode="0.00&quot;x&quot;"/>
    <numFmt numFmtId="169" formatCode="#,##0;\(#,##0\)"/>
    <numFmt numFmtId="170" formatCode="0.00&quot;%&quot;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rgb="FF000000"/>
      <name val="Inherit"/>
    </font>
    <font>
      <sz val="8"/>
      <color rgb="FF000000"/>
      <name val="Arial"/>
      <family val="2"/>
    </font>
    <font>
      <b/>
      <sz val="9"/>
      <color theme="0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606F7B"/>
      <name val="Arial"/>
      <family val="2"/>
    </font>
    <font>
      <b/>
      <i/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7F6E8"/>
        <bgColor indexed="64"/>
      </patternFill>
    </fill>
    <fill>
      <patternFill patternType="solid">
        <fgColor rgb="FFF8F8F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/>
      <top/>
      <bottom style="medium">
        <color rgb="FFDBE4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03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0" fontId="0" fillId="0" borderId="0" xfId="0" applyAlignment="1">
      <alignment vertical="top" wrapText="1"/>
    </xf>
    <xf numFmtId="0" fontId="10" fillId="0" borderId="0" xfId="0" applyFont="1" applyFill="1" applyAlignment="1">
      <alignment horizontal="center"/>
    </xf>
    <xf numFmtId="0" fontId="0" fillId="0" borderId="1" xfId="0" applyBorder="1"/>
    <xf numFmtId="17" fontId="2" fillId="6" borderId="0" xfId="0" applyNumberFormat="1" applyFont="1" applyFill="1"/>
    <xf numFmtId="43" fontId="0" fillId="0" borderId="0" xfId="0" applyNumberFormat="1"/>
    <xf numFmtId="166" fontId="0" fillId="0" borderId="0" xfId="0" applyNumberFormat="1"/>
    <xf numFmtId="10" fontId="0" fillId="0" borderId="0" xfId="6" applyNumberFormat="1" applyFont="1"/>
    <xf numFmtId="0" fontId="11" fillId="0" borderId="0" xfId="0" applyFont="1"/>
    <xf numFmtId="43" fontId="0" fillId="0" borderId="0" xfId="0" applyNumberFormat="1" applyFont="1" applyBorder="1"/>
    <xf numFmtId="10" fontId="0" fillId="0" borderId="0" xfId="6" applyNumberFormat="1" applyFont="1" applyBorder="1"/>
    <xf numFmtId="10" fontId="0" fillId="0" borderId="0" xfId="0" applyNumberFormat="1"/>
    <xf numFmtId="10" fontId="11" fillId="0" borderId="0" xfId="6" applyNumberFormat="1" applyFont="1"/>
    <xf numFmtId="10" fontId="11" fillId="0" borderId="0" xfId="0" applyNumberFormat="1" applyFont="1"/>
    <xf numFmtId="14" fontId="0" fillId="0" borderId="0" xfId="0" applyNumberFormat="1"/>
    <xf numFmtId="17" fontId="2" fillId="0" borderId="0" xfId="0" applyNumberFormat="1" applyFont="1" applyFill="1"/>
    <xf numFmtId="1" fontId="0" fillId="0" borderId="0" xfId="0" applyNumberFormat="1" applyFont="1" applyBorder="1"/>
    <xf numFmtId="167" fontId="0" fillId="0" borderId="0" xfId="0" applyNumberFormat="1" applyFont="1" applyBorder="1"/>
    <xf numFmtId="43" fontId="0" fillId="0" borderId="0" xfId="0" applyNumberFormat="1" applyBorder="1"/>
    <xf numFmtId="2" fontId="0" fillId="0" borderId="0" xfId="0" applyNumberFormat="1"/>
    <xf numFmtId="0" fontId="0" fillId="7" borderId="0" xfId="0" applyFill="1"/>
    <xf numFmtId="0" fontId="12" fillId="8" borderId="2" xfId="0" applyFont="1" applyFill="1" applyBorder="1" applyAlignment="1">
      <alignment horizontal="left" vertical="center" wrapText="1" indent="1"/>
    </xf>
    <xf numFmtId="0" fontId="12" fillId="8" borderId="2" xfId="0" applyFont="1" applyFill="1" applyBorder="1" applyAlignment="1">
      <alignment horizontal="right" vertical="center" wrapText="1" indent="1"/>
    </xf>
    <xf numFmtId="0" fontId="13" fillId="7" borderId="3" xfId="0" applyFont="1" applyFill="1" applyBorder="1" applyAlignment="1">
      <alignment horizontal="left" vertical="center" wrapText="1" indent="1"/>
    </xf>
    <xf numFmtId="3" fontId="13" fillId="7" borderId="3" xfId="0" applyNumberFormat="1" applyFont="1" applyFill="1" applyBorder="1" applyAlignment="1">
      <alignment horizontal="right" vertical="center" wrapText="1" indent="1"/>
    </xf>
    <xf numFmtId="0" fontId="13" fillId="7" borderId="3" xfId="0" applyFont="1" applyFill="1" applyBorder="1" applyAlignment="1">
      <alignment horizontal="right" vertical="center" wrapText="1" indent="1"/>
    </xf>
    <xf numFmtId="0" fontId="13" fillId="9" borderId="3" xfId="0" applyFont="1" applyFill="1" applyBorder="1" applyAlignment="1">
      <alignment horizontal="left" vertical="center" wrapText="1" indent="1"/>
    </xf>
    <xf numFmtId="3" fontId="13" fillId="9" borderId="3" xfId="0" applyNumberFormat="1" applyFont="1" applyFill="1" applyBorder="1" applyAlignment="1">
      <alignment horizontal="right" vertical="center" wrapText="1" indent="1"/>
    </xf>
    <xf numFmtId="0" fontId="13" fillId="9" borderId="3" xfId="0" applyFont="1" applyFill="1" applyBorder="1" applyAlignment="1">
      <alignment horizontal="right" vertical="center" wrapText="1" indent="1"/>
    </xf>
    <xf numFmtId="0" fontId="12" fillId="8" borderId="4" xfId="0" applyFont="1" applyFill="1" applyBorder="1" applyAlignment="1">
      <alignment horizontal="right" vertical="center" wrapText="1" indent="1"/>
    </xf>
    <xf numFmtId="17" fontId="13" fillId="7" borderId="5" xfId="0" applyNumberFormat="1" applyFont="1" applyFill="1" applyBorder="1" applyAlignment="1">
      <alignment horizontal="right" vertical="center" wrapText="1" indent="1"/>
    </xf>
    <xf numFmtId="17" fontId="13" fillId="9" borderId="5" xfId="0" applyNumberFormat="1" applyFont="1" applyFill="1" applyBorder="1" applyAlignment="1">
      <alignment horizontal="right" vertical="center" wrapText="1" indent="1"/>
    </xf>
    <xf numFmtId="0" fontId="2" fillId="6" borderId="0" xfId="0" applyFont="1" applyFill="1" applyAlignment="1">
      <alignment wrapText="1"/>
    </xf>
    <xf numFmtId="17" fontId="14" fillId="6" borderId="0" xfId="0" applyNumberFormat="1" applyFont="1" applyFill="1" applyAlignment="1">
      <alignment wrapText="1"/>
    </xf>
    <xf numFmtId="17" fontId="15" fillId="7" borderId="6" xfId="0" applyNumberFormat="1" applyFont="1" applyFill="1" applyBorder="1" applyAlignment="1">
      <alignment horizontal="right" vertical="center" wrapText="1"/>
    </xf>
    <xf numFmtId="0" fontId="16" fillId="10" borderId="0" xfId="0" applyFont="1" applyFill="1" applyAlignment="1">
      <alignment horizontal="left" vertical="center" wrapText="1" indent="2"/>
    </xf>
    <xf numFmtId="10" fontId="16" fillId="10" borderId="0" xfId="0" applyNumberFormat="1" applyFont="1" applyFill="1" applyAlignment="1">
      <alignment horizontal="right" vertical="center" wrapText="1"/>
    </xf>
    <xf numFmtId="0" fontId="16" fillId="7" borderId="0" xfId="0" applyFont="1" applyFill="1" applyAlignment="1">
      <alignment horizontal="left" vertical="center" wrapText="1" indent="2"/>
    </xf>
    <xf numFmtId="10" fontId="16" fillId="7" borderId="0" xfId="0" applyNumberFormat="1" applyFont="1" applyFill="1" applyAlignment="1">
      <alignment horizontal="right" vertical="center" wrapText="1"/>
    </xf>
    <xf numFmtId="0" fontId="18" fillId="7" borderId="0" xfId="0" applyFont="1" applyFill="1" applyAlignment="1">
      <alignment horizontal="left" vertical="center" wrapText="1" indent="2"/>
    </xf>
    <xf numFmtId="3" fontId="18" fillId="7" borderId="0" xfId="0" applyNumberFormat="1" applyFont="1" applyFill="1" applyAlignment="1">
      <alignment horizontal="right" vertical="center" wrapText="1"/>
    </xf>
    <xf numFmtId="17" fontId="2" fillId="0" borderId="0" xfId="0" applyNumberFormat="1" applyFont="1" applyFill="1" applyAlignment="1"/>
    <xf numFmtId="17" fontId="2" fillId="6" borderId="0" xfId="0" applyNumberFormat="1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0" fillId="0" borderId="1" xfId="0" applyBorder="1" applyAlignment="1">
      <alignment horizontal="left" vertical="top" wrapText="1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7" xfId="0" applyBorder="1"/>
    <xf numFmtId="166" fontId="0" fillId="0" borderId="7" xfId="0" applyNumberFormat="1" applyBorder="1"/>
    <xf numFmtId="0" fontId="11" fillId="0" borderId="7" xfId="0" applyFont="1" applyBorder="1"/>
    <xf numFmtId="10" fontId="11" fillId="0" borderId="7" xfId="6" applyNumberFormat="1" applyFont="1" applyBorder="1"/>
    <xf numFmtId="10" fontId="0" fillId="0" borderId="7" xfId="0" applyNumberFormat="1" applyBorder="1"/>
    <xf numFmtId="10" fontId="0" fillId="0" borderId="7" xfId="6" applyNumberFormat="1" applyFont="1" applyBorder="1"/>
    <xf numFmtId="43" fontId="0" fillId="0" borderId="7" xfId="0" applyNumberFormat="1" applyBorder="1"/>
    <xf numFmtId="10" fontId="11" fillId="0" borderId="7" xfId="0" applyNumberFormat="1" applyFont="1" applyBorder="1"/>
    <xf numFmtId="168" fontId="0" fillId="0" borderId="7" xfId="0" applyNumberFormat="1" applyBorder="1"/>
    <xf numFmtId="9" fontId="0" fillId="0" borderId="7" xfId="0" applyNumberFormat="1" applyBorder="1"/>
    <xf numFmtId="2" fontId="0" fillId="0" borderId="7" xfId="0" applyNumberFormat="1" applyBorder="1"/>
    <xf numFmtId="2" fontId="0" fillId="0" borderId="7" xfId="6" applyNumberFormat="1" applyFont="1" applyBorder="1"/>
    <xf numFmtId="170" fontId="0" fillId="0" borderId="7" xfId="0" applyNumberFormat="1" applyBorder="1"/>
    <xf numFmtId="46" fontId="0" fillId="0" borderId="7" xfId="0" quotePrefix="1" applyNumberFormat="1" applyBorder="1" applyAlignment="1">
      <alignment horizontal="center"/>
    </xf>
    <xf numFmtId="0" fontId="0" fillId="0" borderId="8" xfId="0" applyBorder="1"/>
    <xf numFmtId="0" fontId="19" fillId="0" borderId="0" xfId="0" applyFont="1"/>
    <xf numFmtId="0" fontId="0" fillId="0" borderId="7" xfId="0" applyBorder="1" applyAlignment="1">
      <alignment horizontal="left" indent="1"/>
    </xf>
    <xf numFmtId="169" fontId="0" fillId="0" borderId="7" xfId="0" applyNumberFormat="1" applyBorder="1"/>
    <xf numFmtId="0" fontId="1" fillId="0" borderId="7" xfId="0" applyFont="1" applyBorder="1" applyAlignment="1">
      <alignment horizontal="left" indent="1"/>
    </xf>
    <xf numFmtId="169" fontId="1" fillId="0" borderId="7" xfId="0" applyNumberFormat="1" applyFont="1" applyBorder="1"/>
    <xf numFmtId="0" fontId="0" fillId="0" borderId="7" xfId="0" applyFont="1" applyBorder="1" applyAlignment="1">
      <alignment horizontal="left" indent="2"/>
    </xf>
    <xf numFmtId="0" fontId="1" fillId="0" borderId="7" xfId="0" applyFont="1" applyBorder="1" applyAlignment="1">
      <alignment horizontal="left" indent="2"/>
    </xf>
    <xf numFmtId="0" fontId="20" fillId="6" borderId="0" xfId="0" applyFont="1" applyFill="1" applyAlignment="1">
      <alignment horizontal="center" vertical="top"/>
    </xf>
    <xf numFmtId="0" fontId="0" fillId="0" borderId="0" xfId="0" applyAlignment="1">
      <alignment horizontal="left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0066"/>
      <color rgb="FF000099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'[1]ITC Historical Data (1)'!$B$1</c:f>
              <c:strCache>
                <c:ptCount val="1"/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'[1]ITC Historical Data (1)'!$A$2:$A$1239</c:f>
              <c:numCache>
                <c:formatCode>General</c:formatCode>
                <c:ptCount val="1238"/>
                <c:pt idx="0">
                  <c:v>43357</c:v>
                </c:pt>
                <c:pt idx="1">
                  <c:v>43360</c:v>
                </c:pt>
                <c:pt idx="2">
                  <c:v>43361</c:v>
                </c:pt>
                <c:pt idx="3">
                  <c:v>43362</c:v>
                </c:pt>
                <c:pt idx="4">
                  <c:v>43364</c:v>
                </c:pt>
                <c:pt idx="5">
                  <c:v>43367</c:v>
                </c:pt>
                <c:pt idx="6">
                  <c:v>43368</c:v>
                </c:pt>
                <c:pt idx="7">
                  <c:v>43369</c:v>
                </c:pt>
                <c:pt idx="8">
                  <c:v>43370</c:v>
                </c:pt>
                <c:pt idx="9">
                  <c:v>43371</c:v>
                </c:pt>
                <c:pt idx="10">
                  <c:v>43374</c:v>
                </c:pt>
                <c:pt idx="11">
                  <c:v>43376</c:v>
                </c:pt>
                <c:pt idx="12">
                  <c:v>43377</c:v>
                </c:pt>
                <c:pt idx="13">
                  <c:v>43378</c:v>
                </c:pt>
                <c:pt idx="14">
                  <c:v>43381</c:v>
                </c:pt>
                <c:pt idx="15">
                  <c:v>43382</c:v>
                </c:pt>
                <c:pt idx="16">
                  <c:v>43383</c:v>
                </c:pt>
                <c:pt idx="17">
                  <c:v>43384</c:v>
                </c:pt>
                <c:pt idx="18">
                  <c:v>43385</c:v>
                </c:pt>
                <c:pt idx="19">
                  <c:v>43388</c:v>
                </c:pt>
                <c:pt idx="20">
                  <c:v>43389</c:v>
                </c:pt>
                <c:pt idx="21">
                  <c:v>43390</c:v>
                </c:pt>
                <c:pt idx="22">
                  <c:v>43392</c:v>
                </c:pt>
                <c:pt idx="23">
                  <c:v>43395</c:v>
                </c:pt>
                <c:pt idx="24">
                  <c:v>43396</c:v>
                </c:pt>
                <c:pt idx="25">
                  <c:v>43397</c:v>
                </c:pt>
                <c:pt idx="26">
                  <c:v>43398</c:v>
                </c:pt>
                <c:pt idx="27">
                  <c:v>43399</c:v>
                </c:pt>
                <c:pt idx="28">
                  <c:v>43402</c:v>
                </c:pt>
                <c:pt idx="29">
                  <c:v>43403</c:v>
                </c:pt>
                <c:pt idx="30">
                  <c:v>43404</c:v>
                </c:pt>
                <c:pt idx="31">
                  <c:v>43405</c:v>
                </c:pt>
                <c:pt idx="32">
                  <c:v>43406</c:v>
                </c:pt>
                <c:pt idx="33">
                  <c:v>43409</c:v>
                </c:pt>
                <c:pt idx="34">
                  <c:v>43410</c:v>
                </c:pt>
                <c:pt idx="35">
                  <c:v>43411</c:v>
                </c:pt>
                <c:pt idx="36">
                  <c:v>43413</c:v>
                </c:pt>
                <c:pt idx="37">
                  <c:v>43416</c:v>
                </c:pt>
                <c:pt idx="38">
                  <c:v>43417</c:v>
                </c:pt>
                <c:pt idx="39">
                  <c:v>43418</c:v>
                </c:pt>
                <c:pt idx="40">
                  <c:v>43419</c:v>
                </c:pt>
                <c:pt idx="41">
                  <c:v>43420</c:v>
                </c:pt>
                <c:pt idx="42">
                  <c:v>43423</c:v>
                </c:pt>
                <c:pt idx="43">
                  <c:v>43424</c:v>
                </c:pt>
                <c:pt idx="44">
                  <c:v>43425</c:v>
                </c:pt>
                <c:pt idx="45">
                  <c:v>43426</c:v>
                </c:pt>
                <c:pt idx="46">
                  <c:v>43430</c:v>
                </c:pt>
                <c:pt idx="47">
                  <c:v>43431</c:v>
                </c:pt>
                <c:pt idx="48">
                  <c:v>43432</c:v>
                </c:pt>
                <c:pt idx="49">
                  <c:v>43433</c:v>
                </c:pt>
                <c:pt idx="50">
                  <c:v>43434</c:v>
                </c:pt>
                <c:pt idx="51">
                  <c:v>43437</c:v>
                </c:pt>
                <c:pt idx="52">
                  <c:v>43438</c:v>
                </c:pt>
                <c:pt idx="53">
                  <c:v>43439</c:v>
                </c:pt>
                <c:pt idx="54">
                  <c:v>43440</c:v>
                </c:pt>
                <c:pt idx="55">
                  <c:v>43441</c:v>
                </c:pt>
                <c:pt idx="56">
                  <c:v>43444</c:v>
                </c:pt>
                <c:pt idx="57">
                  <c:v>43445</c:v>
                </c:pt>
                <c:pt idx="58">
                  <c:v>43446</c:v>
                </c:pt>
                <c:pt idx="59">
                  <c:v>43447</c:v>
                </c:pt>
                <c:pt idx="60">
                  <c:v>43448</c:v>
                </c:pt>
                <c:pt idx="61">
                  <c:v>43451</c:v>
                </c:pt>
                <c:pt idx="62">
                  <c:v>43452</c:v>
                </c:pt>
                <c:pt idx="63">
                  <c:v>43453</c:v>
                </c:pt>
                <c:pt idx="64">
                  <c:v>43454</c:v>
                </c:pt>
                <c:pt idx="65">
                  <c:v>43455</c:v>
                </c:pt>
                <c:pt idx="66">
                  <c:v>43458</c:v>
                </c:pt>
                <c:pt idx="67">
                  <c:v>43460</c:v>
                </c:pt>
                <c:pt idx="68">
                  <c:v>43461</c:v>
                </c:pt>
                <c:pt idx="69">
                  <c:v>43462</c:v>
                </c:pt>
                <c:pt idx="70">
                  <c:v>43465</c:v>
                </c:pt>
                <c:pt idx="71">
                  <c:v>43466</c:v>
                </c:pt>
                <c:pt idx="72">
                  <c:v>43467</c:v>
                </c:pt>
                <c:pt idx="73">
                  <c:v>43468</c:v>
                </c:pt>
                <c:pt idx="74">
                  <c:v>43469</c:v>
                </c:pt>
                <c:pt idx="75">
                  <c:v>43472</c:v>
                </c:pt>
                <c:pt idx="76">
                  <c:v>43473</c:v>
                </c:pt>
                <c:pt idx="77">
                  <c:v>43474</c:v>
                </c:pt>
                <c:pt idx="78">
                  <c:v>43475</c:v>
                </c:pt>
                <c:pt idx="79">
                  <c:v>43476</c:v>
                </c:pt>
                <c:pt idx="80">
                  <c:v>43479</c:v>
                </c:pt>
                <c:pt idx="81">
                  <c:v>43480</c:v>
                </c:pt>
                <c:pt idx="82">
                  <c:v>43481</c:v>
                </c:pt>
                <c:pt idx="83">
                  <c:v>43482</c:v>
                </c:pt>
                <c:pt idx="84">
                  <c:v>43483</c:v>
                </c:pt>
                <c:pt idx="85">
                  <c:v>43486</c:v>
                </c:pt>
                <c:pt idx="86">
                  <c:v>43487</c:v>
                </c:pt>
                <c:pt idx="87">
                  <c:v>43488</c:v>
                </c:pt>
                <c:pt idx="88">
                  <c:v>43489</c:v>
                </c:pt>
                <c:pt idx="89">
                  <c:v>43490</c:v>
                </c:pt>
                <c:pt idx="90">
                  <c:v>43493</c:v>
                </c:pt>
                <c:pt idx="91">
                  <c:v>43494</c:v>
                </c:pt>
                <c:pt idx="92">
                  <c:v>43495</c:v>
                </c:pt>
                <c:pt idx="93">
                  <c:v>43496</c:v>
                </c:pt>
                <c:pt idx="94">
                  <c:v>43497</c:v>
                </c:pt>
                <c:pt idx="95">
                  <c:v>43500</c:v>
                </c:pt>
                <c:pt idx="96">
                  <c:v>43501</c:v>
                </c:pt>
                <c:pt idx="97">
                  <c:v>43502</c:v>
                </c:pt>
                <c:pt idx="98">
                  <c:v>43503</c:v>
                </c:pt>
                <c:pt idx="99">
                  <c:v>43504</c:v>
                </c:pt>
                <c:pt idx="100">
                  <c:v>43507</c:v>
                </c:pt>
                <c:pt idx="101">
                  <c:v>43508</c:v>
                </c:pt>
                <c:pt idx="102">
                  <c:v>43509</c:v>
                </c:pt>
                <c:pt idx="103">
                  <c:v>43510</c:v>
                </c:pt>
                <c:pt idx="104">
                  <c:v>43511</c:v>
                </c:pt>
                <c:pt idx="105">
                  <c:v>43514</c:v>
                </c:pt>
                <c:pt idx="106">
                  <c:v>43515</c:v>
                </c:pt>
                <c:pt idx="107">
                  <c:v>43516</c:v>
                </c:pt>
                <c:pt idx="108">
                  <c:v>43517</c:v>
                </c:pt>
                <c:pt idx="109">
                  <c:v>43518</c:v>
                </c:pt>
                <c:pt idx="110">
                  <c:v>43521</c:v>
                </c:pt>
                <c:pt idx="111">
                  <c:v>43522</c:v>
                </c:pt>
                <c:pt idx="112">
                  <c:v>43523</c:v>
                </c:pt>
                <c:pt idx="113">
                  <c:v>43524</c:v>
                </c:pt>
                <c:pt idx="114">
                  <c:v>43525</c:v>
                </c:pt>
                <c:pt idx="115">
                  <c:v>43529</c:v>
                </c:pt>
                <c:pt idx="116">
                  <c:v>43530</c:v>
                </c:pt>
                <c:pt idx="117">
                  <c:v>43531</c:v>
                </c:pt>
                <c:pt idx="118">
                  <c:v>43532</c:v>
                </c:pt>
                <c:pt idx="119">
                  <c:v>43535</c:v>
                </c:pt>
                <c:pt idx="120">
                  <c:v>43536</c:v>
                </c:pt>
                <c:pt idx="121">
                  <c:v>43537</c:v>
                </c:pt>
                <c:pt idx="122">
                  <c:v>43538</c:v>
                </c:pt>
                <c:pt idx="123">
                  <c:v>43539</c:v>
                </c:pt>
                <c:pt idx="124">
                  <c:v>43542</c:v>
                </c:pt>
                <c:pt idx="125">
                  <c:v>43543</c:v>
                </c:pt>
                <c:pt idx="126">
                  <c:v>43544</c:v>
                </c:pt>
                <c:pt idx="127">
                  <c:v>43546</c:v>
                </c:pt>
                <c:pt idx="128">
                  <c:v>43549</c:v>
                </c:pt>
                <c:pt idx="129">
                  <c:v>43550</c:v>
                </c:pt>
                <c:pt idx="130">
                  <c:v>43551</c:v>
                </c:pt>
                <c:pt idx="131">
                  <c:v>43552</c:v>
                </c:pt>
                <c:pt idx="132">
                  <c:v>43553</c:v>
                </c:pt>
                <c:pt idx="133">
                  <c:v>43556</c:v>
                </c:pt>
                <c:pt idx="134">
                  <c:v>43557</c:v>
                </c:pt>
                <c:pt idx="135">
                  <c:v>43558</c:v>
                </c:pt>
                <c:pt idx="136">
                  <c:v>43559</c:v>
                </c:pt>
                <c:pt idx="137">
                  <c:v>43560</c:v>
                </c:pt>
                <c:pt idx="138">
                  <c:v>43563</c:v>
                </c:pt>
                <c:pt idx="139">
                  <c:v>43564</c:v>
                </c:pt>
                <c:pt idx="140">
                  <c:v>43565</c:v>
                </c:pt>
                <c:pt idx="141">
                  <c:v>43566</c:v>
                </c:pt>
                <c:pt idx="142">
                  <c:v>43567</c:v>
                </c:pt>
                <c:pt idx="143">
                  <c:v>43570</c:v>
                </c:pt>
                <c:pt idx="144">
                  <c:v>43571</c:v>
                </c:pt>
                <c:pt idx="145">
                  <c:v>43573</c:v>
                </c:pt>
                <c:pt idx="146">
                  <c:v>43577</c:v>
                </c:pt>
                <c:pt idx="147">
                  <c:v>43578</c:v>
                </c:pt>
                <c:pt idx="148">
                  <c:v>43579</c:v>
                </c:pt>
                <c:pt idx="149">
                  <c:v>43580</c:v>
                </c:pt>
                <c:pt idx="150">
                  <c:v>43581</c:v>
                </c:pt>
                <c:pt idx="151">
                  <c:v>43585</c:v>
                </c:pt>
                <c:pt idx="152">
                  <c:v>43587</c:v>
                </c:pt>
                <c:pt idx="153">
                  <c:v>43588</c:v>
                </c:pt>
                <c:pt idx="154">
                  <c:v>43591</c:v>
                </c:pt>
                <c:pt idx="155">
                  <c:v>43592</c:v>
                </c:pt>
                <c:pt idx="156">
                  <c:v>43593</c:v>
                </c:pt>
                <c:pt idx="157">
                  <c:v>43594</c:v>
                </c:pt>
                <c:pt idx="158">
                  <c:v>43595</c:v>
                </c:pt>
                <c:pt idx="159">
                  <c:v>43598</c:v>
                </c:pt>
                <c:pt idx="160">
                  <c:v>43599</c:v>
                </c:pt>
                <c:pt idx="161">
                  <c:v>43600</c:v>
                </c:pt>
                <c:pt idx="162">
                  <c:v>43601</c:v>
                </c:pt>
                <c:pt idx="163">
                  <c:v>43602</c:v>
                </c:pt>
                <c:pt idx="164">
                  <c:v>43605</c:v>
                </c:pt>
                <c:pt idx="165">
                  <c:v>43606</c:v>
                </c:pt>
                <c:pt idx="166">
                  <c:v>43607</c:v>
                </c:pt>
                <c:pt idx="167">
                  <c:v>43608</c:v>
                </c:pt>
                <c:pt idx="168">
                  <c:v>43609</c:v>
                </c:pt>
                <c:pt idx="169">
                  <c:v>43612</c:v>
                </c:pt>
                <c:pt idx="170">
                  <c:v>43613</c:v>
                </c:pt>
                <c:pt idx="171">
                  <c:v>43614</c:v>
                </c:pt>
                <c:pt idx="172">
                  <c:v>43615</c:v>
                </c:pt>
                <c:pt idx="173">
                  <c:v>43616</c:v>
                </c:pt>
                <c:pt idx="174">
                  <c:v>43619</c:v>
                </c:pt>
                <c:pt idx="175">
                  <c:v>43620</c:v>
                </c:pt>
                <c:pt idx="176">
                  <c:v>43622</c:v>
                </c:pt>
                <c:pt idx="177">
                  <c:v>43623</c:v>
                </c:pt>
                <c:pt idx="178">
                  <c:v>43626</c:v>
                </c:pt>
                <c:pt idx="179">
                  <c:v>43627</c:v>
                </c:pt>
                <c:pt idx="180">
                  <c:v>43628</c:v>
                </c:pt>
                <c:pt idx="181">
                  <c:v>43629</c:v>
                </c:pt>
                <c:pt idx="182">
                  <c:v>43630</c:v>
                </c:pt>
                <c:pt idx="183">
                  <c:v>43633</c:v>
                </c:pt>
                <c:pt idx="184">
                  <c:v>43634</c:v>
                </c:pt>
                <c:pt idx="185">
                  <c:v>43635</c:v>
                </c:pt>
                <c:pt idx="186">
                  <c:v>43636</c:v>
                </c:pt>
                <c:pt idx="187">
                  <c:v>43637</c:v>
                </c:pt>
                <c:pt idx="188">
                  <c:v>43640</c:v>
                </c:pt>
                <c:pt idx="189">
                  <c:v>43641</c:v>
                </c:pt>
                <c:pt idx="190">
                  <c:v>43642</c:v>
                </c:pt>
                <c:pt idx="191">
                  <c:v>43643</c:v>
                </c:pt>
                <c:pt idx="192">
                  <c:v>43644</c:v>
                </c:pt>
                <c:pt idx="193">
                  <c:v>43647</c:v>
                </c:pt>
                <c:pt idx="194">
                  <c:v>43648</c:v>
                </c:pt>
                <c:pt idx="195">
                  <c:v>43649</c:v>
                </c:pt>
                <c:pt idx="196">
                  <c:v>43650</c:v>
                </c:pt>
                <c:pt idx="197">
                  <c:v>43651</c:v>
                </c:pt>
                <c:pt idx="198">
                  <c:v>43654</c:v>
                </c:pt>
                <c:pt idx="199">
                  <c:v>43655</c:v>
                </c:pt>
                <c:pt idx="200">
                  <c:v>43656</c:v>
                </c:pt>
                <c:pt idx="201">
                  <c:v>43657</c:v>
                </c:pt>
                <c:pt idx="202">
                  <c:v>43658</c:v>
                </c:pt>
                <c:pt idx="203">
                  <c:v>43661</c:v>
                </c:pt>
                <c:pt idx="204">
                  <c:v>43662</c:v>
                </c:pt>
                <c:pt idx="205">
                  <c:v>43663</c:v>
                </c:pt>
                <c:pt idx="206">
                  <c:v>43664</c:v>
                </c:pt>
                <c:pt idx="207">
                  <c:v>43665</c:v>
                </c:pt>
                <c:pt idx="208">
                  <c:v>43668</c:v>
                </c:pt>
                <c:pt idx="209">
                  <c:v>43669</c:v>
                </c:pt>
                <c:pt idx="210">
                  <c:v>43670</c:v>
                </c:pt>
                <c:pt idx="211">
                  <c:v>43671</c:v>
                </c:pt>
                <c:pt idx="212">
                  <c:v>43672</c:v>
                </c:pt>
                <c:pt idx="213">
                  <c:v>43675</c:v>
                </c:pt>
                <c:pt idx="214">
                  <c:v>43676</c:v>
                </c:pt>
                <c:pt idx="215">
                  <c:v>43677</c:v>
                </c:pt>
                <c:pt idx="216">
                  <c:v>43678</c:v>
                </c:pt>
                <c:pt idx="217">
                  <c:v>43679</c:v>
                </c:pt>
                <c:pt idx="218">
                  <c:v>43682</c:v>
                </c:pt>
                <c:pt idx="219">
                  <c:v>43683</c:v>
                </c:pt>
                <c:pt idx="220">
                  <c:v>43684</c:v>
                </c:pt>
                <c:pt idx="221">
                  <c:v>43685</c:v>
                </c:pt>
                <c:pt idx="222">
                  <c:v>43686</c:v>
                </c:pt>
                <c:pt idx="223">
                  <c:v>43690</c:v>
                </c:pt>
                <c:pt idx="224">
                  <c:v>43691</c:v>
                </c:pt>
                <c:pt idx="225">
                  <c:v>43693</c:v>
                </c:pt>
                <c:pt idx="226">
                  <c:v>43696</c:v>
                </c:pt>
                <c:pt idx="227">
                  <c:v>43697</c:v>
                </c:pt>
                <c:pt idx="228">
                  <c:v>43698</c:v>
                </c:pt>
                <c:pt idx="229">
                  <c:v>43699</c:v>
                </c:pt>
                <c:pt idx="230">
                  <c:v>43700</c:v>
                </c:pt>
                <c:pt idx="231">
                  <c:v>43703</c:v>
                </c:pt>
                <c:pt idx="232">
                  <c:v>43704</c:v>
                </c:pt>
                <c:pt idx="233">
                  <c:v>43705</c:v>
                </c:pt>
                <c:pt idx="234">
                  <c:v>43706</c:v>
                </c:pt>
                <c:pt idx="235">
                  <c:v>43707</c:v>
                </c:pt>
                <c:pt idx="236">
                  <c:v>43711</c:v>
                </c:pt>
                <c:pt idx="237">
                  <c:v>43712</c:v>
                </c:pt>
                <c:pt idx="238">
                  <c:v>43713</c:v>
                </c:pt>
                <c:pt idx="239">
                  <c:v>43714</c:v>
                </c:pt>
                <c:pt idx="240">
                  <c:v>43717</c:v>
                </c:pt>
                <c:pt idx="241">
                  <c:v>43719</c:v>
                </c:pt>
                <c:pt idx="242">
                  <c:v>43720</c:v>
                </c:pt>
                <c:pt idx="243">
                  <c:v>43721</c:v>
                </c:pt>
                <c:pt idx="244">
                  <c:v>43724</c:v>
                </c:pt>
                <c:pt idx="245">
                  <c:v>43725</c:v>
                </c:pt>
                <c:pt idx="246">
                  <c:v>43726</c:v>
                </c:pt>
                <c:pt idx="247">
                  <c:v>43727</c:v>
                </c:pt>
                <c:pt idx="248">
                  <c:v>43728</c:v>
                </c:pt>
                <c:pt idx="249">
                  <c:v>43731</c:v>
                </c:pt>
                <c:pt idx="250">
                  <c:v>43732</c:v>
                </c:pt>
                <c:pt idx="251">
                  <c:v>43733</c:v>
                </c:pt>
                <c:pt idx="252">
                  <c:v>43734</c:v>
                </c:pt>
                <c:pt idx="253">
                  <c:v>43735</c:v>
                </c:pt>
                <c:pt idx="254">
                  <c:v>43738</c:v>
                </c:pt>
                <c:pt idx="255">
                  <c:v>43739</c:v>
                </c:pt>
                <c:pt idx="256">
                  <c:v>43741</c:v>
                </c:pt>
                <c:pt idx="257">
                  <c:v>43742</c:v>
                </c:pt>
                <c:pt idx="258">
                  <c:v>43745</c:v>
                </c:pt>
                <c:pt idx="259">
                  <c:v>43747</c:v>
                </c:pt>
                <c:pt idx="260">
                  <c:v>43748</c:v>
                </c:pt>
                <c:pt idx="261">
                  <c:v>43749</c:v>
                </c:pt>
                <c:pt idx="262">
                  <c:v>43752</c:v>
                </c:pt>
                <c:pt idx="263">
                  <c:v>43753</c:v>
                </c:pt>
                <c:pt idx="264">
                  <c:v>43754</c:v>
                </c:pt>
                <c:pt idx="265">
                  <c:v>43755</c:v>
                </c:pt>
                <c:pt idx="266">
                  <c:v>43756</c:v>
                </c:pt>
                <c:pt idx="267">
                  <c:v>43760</c:v>
                </c:pt>
                <c:pt idx="268">
                  <c:v>43761</c:v>
                </c:pt>
                <c:pt idx="269">
                  <c:v>43762</c:v>
                </c:pt>
                <c:pt idx="270">
                  <c:v>43763</c:v>
                </c:pt>
                <c:pt idx="271">
                  <c:v>43765</c:v>
                </c:pt>
                <c:pt idx="272">
                  <c:v>43767</c:v>
                </c:pt>
                <c:pt idx="273">
                  <c:v>43768</c:v>
                </c:pt>
                <c:pt idx="274">
                  <c:v>43769</c:v>
                </c:pt>
                <c:pt idx="275">
                  <c:v>43770</c:v>
                </c:pt>
                <c:pt idx="276">
                  <c:v>43773</c:v>
                </c:pt>
                <c:pt idx="277">
                  <c:v>43774</c:v>
                </c:pt>
                <c:pt idx="278">
                  <c:v>43775</c:v>
                </c:pt>
                <c:pt idx="279">
                  <c:v>43776</c:v>
                </c:pt>
                <c:pt idx="280">
                  <c:v>43777</c:v>
                </c:pt>
                <c:pt idx="281">
                  <c:v>43780</c:v>
                </c:pt>
                <c:pt idx="282">
                  <c:v>43782</c:v>
                </c:pt>
                <c:pt idx="283">
                  <c:v>43783</c:v>
                </c:pt>
                <c:pt idx="284">
                  <c:v>43784</c:v>
                </c:pt>
                <c:pt idx="285">
                  <c:v>43787</c:v>
                </c:pt>
                <c:pt idx="286">
                  <c:v>43788</c:v>
                </c:pt>
                <c:pt idx="287">
                  <c:v>43789</c:v>
                </c:pt>
                <c:pt idx="288">
                  <c:v>43790</c:v>
                </c:pt>
                <c:pt idx="289">
                  <c:v>43791</c:v>
                </c:pt>
                <c:pt idx="290">
                  <c:v>43794</c:v>
                </c:pt>
                <c:pt idx="291">
                  <c:v>43795</c:v>
                </c:pt>
                <c:pt idx="292">
                  <c:v>43796</c:v>
                </c:pt>
                <c:pt idx="293">
                  <c:v>43797</c:v>
                </c:pt>
                <c:pt idx="294">
                  <c:v>43798</c:v>
                </c:pt>
                <c:pt idx="295">
                  <c:v>43801</c:v>
                </c:pt>
                <c:pt idx="296">
                  <c:v>43802</c:v>
                </c:pt>
                <c:pt idx="297">
                  <c:v>43803</c:v>
                </c:pt>
                <c:pt idx="298">
                  <c:v>43804</c:v>
                </c:pt>
                <c:pt idx="299">
                  <c:v>43805</c:v>
                </c:pt>
                <c:pt idx="300">
                  <c:v>43808</c:v>
                </c:pt>
                <c:pt idx="301">
                  <c:v>43809</c:v>
                </c:pt>
                <c:pt idx="302">
                  <c:v>43810</c:v>
                </c:pt>
                <c:pt idx="303">
                  <c:v>43811</c:v>
                </c:pt>
                <c:pt idx="304">
                  <c:v>43812</c:v>
                </c:pt>
                <c:pt idx="305">
                  <c:v>43815</c:v>
                </c:pt>
                <c:pt idx="306">
                  <c:v>43816</c:v>
                </c:pt>
                <c:pt idx="307">
                  <c:v>43817</c:v>
                </c:pt>
                <c:pt idx="308">
                  <c:v>43818</c:v>
                </c:pt>
                <c:pt idx="309">
                  <c:v>43819</c:v>
                </c:pt>
                <c:pt idx="310">
                  <c:v>43822</c:v>
                </c:pt>
                <c:pt idx="311">
                  <c:v>43823</c:v>
                </c:pt>
                <c:pt idx="312">
                  <c:v>43825</c:v>
                </c:pt>
                <c:pt idx="313">
                  <c:v>43826</c:v>
                </c:pt>
                <c:pt idx="314">
                  <c:v>43829</c:v>
                </c:pt>
                <c:pt idx="315">
                  <c:v>43830</c:v>
                </c:pt>
                <c:pt idx="316">
                  <c:v>43831</c:v>
                </c:pt>
                <c:pt idx="317">
                  <c:v>43832</c:v>
                </c:pt>
                <c:pt idx="318">
                  <c:v>43833</c:v>
                </c:pt>
                <c:pt idx="319">
                  <c:v>43836</c:v>
                </c:pt>
                <c:pt idx="320">
                  <c:v>43837</c:v>
                </c:pt>
                <c:pt idx="321">
                  <c:v>43838</c:v>
                </c:pt>
                <c:pt idx="322">
                  <c:v>43839</c:v>
                </c:pt>
                <c:pt idx="323">
                  <c:v>43840</c:v>
                </c:pt>
                <c:pt idx="324">
                  <c:v>43843</c:v>
                </c:pt>
                <c:pt idx="325">
                  <c:v>43844</c:v>
                </c:pt>
                <c:pt idx="326">
                  <c:v>43845</c:v>
                </c:pt>
                <c:pt idx="327">
                  <c:v>43846</c:v>
                </c:pt>
                <c:pt idx="328">
                  <c:v>43847</c:v>
                </c:pt>
                <c:pt idx="329">
                  <c:v>43850</c:v>
                </c:pt>
                <c:pt idx="330">
                  <c:v>43851</c:v>
                </c:pt>
                <c:pt idx="331">
                  <c:v>43852</c:v>
                </c:pt>
                <c:pt idx="332">
                  <c:v>43853</c:v>
                </c:pt>
                <c:pt idx="333">
                  <c:v>43854</c:v>
                </c:pt>
                <c:pt idx="334">
                  <c:v>43857</c:v>
                </c:pt>
                <c:pt idx="335">
                  <c:v>43858</c:v>
                </c:pt>
                <c:pt idx="336">
                  <c:v>43859</c:v>
                </c:pt>
                <c:pt idx="337">
                  <c:v>43860</c:v>
                </c:pt>
                <c:pt idx="338">
                  <c:v>43861</c:v>
                </c:pt>
                <c:pt idx="339">
                  <c:v>43862</c:v>
                </c:pt>
                <c:pt idx="340">
                  <c:v>43864</c:v>
                </c:pt>
                <c:pt idx="341">
                  <c:v>43865</c:v>
                </c:pt>
                <c:pt idx="342">
                  <c:v>43866</c:v>
                </c:pt>
                <c:pt idx="343">
                  <c:v>43867</c:v>
                </c:pt>
                <c:pt idx="344">
                  <c:v>43868</c:v>
                </c:pt>
                <c:pt idx="345">
                  <c:v>43871</c:v>
                </c:pt>
                <c:pt idx="346">
                  <c:v>43872</c:v>
                </c:pt>
                <c:pt idx="347">
                  <c:v>43873</c:v>
                </c:pt>
                <c:pt idx="348">
                  <c:v>43874</c:v>
                </c:pt>
                <c:pt idx="349">
                  <c:v>43875</c:v>
                </c:pt>
                <c:pt idx="350">
                  <c:v>43878</c:v>
                </c:pt>
                <c:pt idx="351">
                  <c:v>43879</c:v>
                </c:pt>
                <c:pt idx="352">
                  <c:v>43880</c:v>
                </c:pt>
                <c:pt idx="353">
                  <c:v>43881</c:v>
                </c:pt>
                <c:pt idx="354">
                  <c:v>43885</c:v>
                </c:pt>
                <c:pt idx="355">
                  <c:v>43886</c:v>
                </c:pt>
                <c:pt idx="356">
                  <c:v>43887</c:v>
                </c:pt>
                <c:pt idx="357">
                  <c:v>43888</c:v>
                </c:pt>
                <c:pt idx="358">
                  <c:v>43889</c:v>
                </c:pt>
                <c:pt idx="359">
                  <c:v>43892</c:v>
                </c:pt>
                <c:pt idx="360">
                  <c:v>43893</c:v>
                </c:pt>
                <c:pt idx="361">
                  <c:v>43894</c:v>
                </c:pt>
                <c:pt idx="362">
                  <c:v>43895</c:v>
                </c:pt>
                <c:pt idx="363">
                  <c:v>43896</c:v>
                </c:pt>
                <c:pt idx="364">
                  <c:v>43899</c:v>
                </c:pt>
                <c:pt idx="365">
                  <c:v>43901</c:v>
                </c:pt>
                <c:pt idx="366">
                  <c:v>43902</c:v>
                </c:pt>
                <c:pt idx="367">
                  <c:v>43903</c:v>
                </c:pt>
                <c:pt idx="368">
                  <c:v>43906</c:v>
                </c:pt>
                <c:pt idx="369">
                  <c:v>43907</c:v>
                </c:pt>
                <c:pt idx="370">
                  <c:v>43908</c:v>
                </c:pt>
                <c:pt idx="371">
                  <c:v>43909</c:v>
                </c:pt>
                <c:pt idx="372">
                  <c:v>43910</c:v>
                </c:pt>
                <c:pt idx="373">
                  <c:v>43913</c:v>
                </c:pt>
                <c:pt idx="374">
                  <c:v>43914</c:v>
                </c:pt>
                <c:pt idx="375">
                  <c:v>43915</c:v>
                </c:pt>
                <c:pt idx="376">
                  <c:v>43916</c:v>
                </c:pt>
                <c:pt idx="377">
                  <c:v>43917</c:v>
                </c:pt>
                <c:pt idx="378">
                  <c:v>43920</c:v>
                </c:pt>
                <c:pt idx="379">
                  <c:v>43921</c:v>
                </c:pt>
                <c:pt idx="380">
                  <c:v>43922</c:v>
                </c:pt>
                <c:pt idx="381">
                  <c:v>43924</c:v>
                </c:pt>
                <c:pt idx="382">
                  <c:v>43928</c:v>
                </c:pt>
                <c:pt idx="383">
                  <c:v>43929</c:v>
                </c:pt>
                <c:pt idx="384">
                  <c:v>43930</c:v>
                </c:pt>
                <c:pt idx="385">
                  <c:v>43934</c:v>
                </c:pt>
                <c:pt idx="386">
                  <c:v>43936</c:v>
                </c:pt>
                <c:pt idx="387">
                  <c:v>43937</c:v>
                </c:pt>
                <c:pt idx="388">
                  <c:v>43938</c:v>
                </c:pt>
                <c:pt idx="389">
                  <c:v>43941</c:v>
                </c:pt>
                <c:pt idx="390">
                  <c:v>43942</c:v>
                </c:pt>
                <c:pt idx="391">
                  <c:v>43943</c:v>
                </c:pt>
                <c:pt idx="392">
                  <c:v>43944</c:v>
                </c:pt>
                <c:pt idx="393">
                  <c:v>43945</c:v>
                </c:pt>
                <c:pt idx="394">
                  <c:v>43948</c:v>
                </c:pt>
                <c:pt idx="395">
                  <c:v>43949</c:v>
                </c:pt>
                <c:pt idx="396">
                  <c:v>43950</c:v>
                </c:pt>
                <c:pt idx="397">
                  <c:v>43951</c:v>
                </c:pt>
                <c:pt idx="398">
                  <c:v>43955</c:v>
                </c:pt>
                <c:pt idx="399">
                  <c:v>43956</c:v>
                </c:pt>
                <c:pt idx="400">
                  <c:v>43957</c:v>
                </c:pt>
                <c:pt idx="401">
                  <c:v>43958</c:v>
                </c:pt>
                <c:pt idx="402">
                  <c:v>43959</c:v>
                </c:pt>
                <c:pt idx="403">
                  <c:v>43962</c:v>
                </c:pt>
                <c:pt idx="404">
                  <c:v>43963</c:v>
                </c:pt>
                <c:pt idx="405">
                  <c:v>43964</c:v>
                </c:pt>
                <c:pt idx="406">
                  <c:v>43965</c:v>
                </c:pt>
                <c:pt idx="407">
                  <c:v>43966</c:v>
                </c:pt>
                <c:pt idx="408">
                  <c:v>43969</c:v>
                </c:pt>
                <c:pt idx="409">
                  <c:v>43970</c:v>
                </c:pt>
                <c:pt idx="410">
                  <c:v>43971</c:v>
                </c:pt>
                <c:pt idx="411">
                  <c:v>43972</c:v>
                </c:pt>
                <c:pt idx="412">
                  <c:v>43973</c:v>
                </c:pt>
                <c:pt idx="413">
                  <c:v>43977</c:v>
                </c:pt>
                <c:pt idx="414">
                  <c:v>43978</c:v>
                </c:pt>
                <c:pt idx="415">
                  <c:v>43979</c:v>
                </c:pt>
                <c:pt idx="416">
                  <c:v>43980</c:v>
                </c:pt>
                <c:pt idx="417">
                  <c:v>43983</c:v>
                </c:pt>
                <c:pt idx="418">
                  <c:v>43984</c:v>
                </c:pt>
                <c:pt idx="419">
                  <c:v>43985</c:v>
                </c:pt>
                <c:pt idx="420">
                  <c:v>43986</c:v>
                </c:pt>
                <c:pt idx="421">
                  <c:v>43987</c:v>
                </c:pt>
                <c:pt idx="422">
                  <c:v>43990</c:v>
                </c:pt>
                <c:pt idx="423">
                  <c:v>43991</c:v>
                </c:pt>
                <c:pt idx="424">
                  <c:v>43992</c:v>
                </c:pt>
                <c:pt idx="425">
                  <c:v>43993</c:v>
                </c:pt>
                <c:pt idx="426">
                  <c:v>43994</c:v>
                </c:pt>
                <c:pt idx="427">
                  <c:v>43997</c:v>
                </c:pt>
                <c:pt idx="428">
                  <c:v>43998</c:v>
                </c:pt>
                <c:pt idx="429">
                  <c:v>43999</c:v>
                </c:pt>
                <c:pt idx="430">
                  <c:v>44000</c:v>
                </c:pt>
                <c:pt idx="431">
                  <c:v>44001</c:v>
                </c:pt>
                <c:pt idx="432">
                  <c:v>44004</c:v>
                </c:pt>
                <c:pt idx="433">
                  <c:v>44005</c:v>
                </c:pt>
                <c:pt idx="434">
                  <c:v>44006</c:v>
                </c:pt>
                <c:pt idx="435">
                  <c:v>44007</c:v>
                </c:pt>
                <c:pt idx="436">
                  <c:v>44008</c:v>
                </c:pt>
                <c:pt idx="437">
                  <c:v>44011</c:v>
                </c:pt>
                <c:pt idx="438">
                  <c:v>44012</c:v>
                </c:pt>
                <c:pt idx="439">
                  <c:v>44013</c:v>
                </c:pt>
                <c:pt idx="440">
                  <c:v>44014</c:v>
                </c:pt>
                <c:pt idx="441">
                  <c:v>44015</c:v>
                </c:pt>
                <c:pt idx="442">
                  <c:v>44018</c:v>
                </c:pt>
                <c:pt idx="443">
                  <c:v>44019</c:v>
                </c:pt>
                <c:pt idx="444">
                  <c:v>44020</c:v>
                </c:pt>
                <c:pt idx="445">
                  <c:v>44021</c:v>
                </c:pt>
                <c:pt idx="446">
                  <c:v>44022</c:v>
                </c:pt>
                <c:pt idx="447">
                  <c:v>44025</c:v>
                </c:pt>
                <c:pt idx="448">
                  <c:v>44026</c:v>
                </c:pt>
                <c:pt idx="449">
                  <c:v>44027</c:v>
                </c:pt>
                <c:pt idx="450">
                  <c:v>44028</c:v>
                </c:pt>
                <c:pt idx="451">
                  <c:v>44029</c:v>
                </c:pt>
                <c:pt idx="452">
                  <c:v>44032</c:v>
                </c:pt>
                <c:pt idx="453">
                  <c:v>44033</c:v>
                </c:pt>
                <c:pt idx="454">
                  <c:v>44034</c:v>
                </c:pt>
                <c:pt idx="455">
                  <c:v>44035</c:v>
                </c:pt>
                <c:pt idx="456">
                  <c:v>44036</c:v>
                </c:pt>
                <c:pt idx="457">
                  <c:v>44039</c:v>
                </c:pt>
                <c:pt idx="458">
                  <c:v>44040</c:v>
                </c:pt>
                <c:pt idx="459">
                  <c:v>44041</c:v>
                </c:pt>
                <c:pt idx="460">
                  <c:v>44042</c:v>
                </c:pt>
                <c:pt idx="461">
                  <c:v>44043</c:v>
                </c:pt>
                <c:pt idx="462">
                  <c:v>44046</c:v>
                </c:pt>
                <c:pt idx="463">
                  <c:v>44047</c:v>
                </c:pt>
                <c:pt idx="464">
                  <c:v>44048</c:v>
                </c:pt>
                <c:pt idx="465">
                  <c:v>44049</c:v>
                </c:pt>
                <c:pt idx="466">
                  <c:v>44050</c:v>
                </c:pt>
                <c:pt idx="467">
                  <c:v>44053</c:v>
                </c:pt>
                <c:pt idx="468">
                  <c:v>44054</c:v>
                </c:pt>
                <c:pt idx="469">
                  <c:v>44055</c:v>
                </c:pt>
                <c:pt idx="470">
                  <c:v>44056</c:v>
                </c:pt>
                <c:pt idx="471">
                  <c:v>44057</c:v>
                </c:pt>
                <c:pt idx="472">
                  <c:v>44060</c:v>
                </c:pt>
                <c:pt idx="473">
                  <c:v>44061</c:v>
                </c:pt>
                <c:pt idx="474">
                  <c:v>44062</c:v>
                </c:pt>
                <c:pt idx="475">
                  <c:v>44063</c:v>
                </c:pt>
                <c:pt idx="476">
                  <c:v>44064</c:v>
                </c:pt>
                <c:pt idx="477">
                  <c:v>44067</c:v>
                </c:pt>
                <c:pt idx="478">
                  <c:v>44068</c:v>
                </c:pt>
                <c:pt idx="479">
                  <c:v>44069</c:v>
                </c:pt>
                <c:pt idx="480">
                  <c:v>44070</c:v>
                </c:pt>
                <c:pt idx="481">
                  <c:v>44071</c:v>
                </c:pt>
                <c:pt idx="482">
                  <c:v>44074</c:v>
                </c:pt>
                <c:pt idx="483">
                  <c:v>44075</c:v>
                </c:pt>
                <c:pt idx="484">
                  <c:v>44076</c:v>
                </c:pt>
                <c:pt idx="485">
                  <c:v>44077</c:v>
                </c:pt>
                <c:pt idx="486">
                  <c:v>44078</c:v>
                </c:pt>
                <c:pt idx="487">
                  <c:v>44081</c:v>
                </c:pt>
                <c:pt idx="488">
                  <c:v>44082</c:v>
                </c:pt>
                <c:pt idx="489">
                  <c:v>44083</c:v>
                </c:pt>
                <c:pt idx="490">
                  <c:v>44084</c:v>
                </c:pt>
                <c:pt idx="491">
                  <c:v>44085</c:v>
                </c:pt>
                <c:pt idx="492">
                  <c:v>44088</c:v>
                </c:pt>
                <c:pt idx="493">
                  <c:v>44089</c:v>
                </c:pt>
                <c:pt idx="494">
                  <c:v>44090</c:v>
                </c:pt>
                <c:pt idx="495">
                  <c:v>44091</c:v>
                </c:pt>
                <c:pt idx="496">
                  <c:v>44092</c:v>
                </c:pt>
                <c:pt idx="497">
                  <c:v>44095</c:v>
                </c:pt>
                <c:pt idx="498">
                  <c:v>44096</c:v>
                </c:pt>
                <c:pt idx="499">
                  <c:v>44097</c:v>
                </c:pt>
                <c:pt idx="500">
                  <c:v>44098</c:v>
                </c:pt>
                <c:pt idx="501">
                  <c:v>44099</c:v>
                </c:pt>
                <c:pt idx="502">
                  <c:v>44102</c:v>
                </c:pt>
                <c:pt idx="503">
                  <c:v>44103</c:v>
                </c:pt>
                <c:pt idx="504">
                  <c:v>44104</c:v>
                </c:pt>
                <c:pt idx="505">
                  <c:v>44105</c:v>
                </c:pt>
                <c:pt idx="506">
                  <c:v>44109</c:v>
                </c:pt>
                <c:pt idx="507">
                  <c:v>44110</c:v>
                </c:pt>
                <c:pt idx="508">
                  <c:v>44111</c:v>
                </c:pt>
                <c:pt idx="509">
                  <c:v>44112</c:v>
                </c:pt>
                <c:pt idx="510">
                  <c:v>44113</c:v>
                </c:pt>
                <c:pt idx="511">
                  <c:v>44116</c:v>
                </c:pt>
                <c:pt idx="512">
                  <c:v>44117</c:v>
                </c:pt>
                <c:pt idx="513">
                  <c:v>44118</c:v>
                </c:pt>
                <c:pt idx="514">
                  <c:v>44119</c:v>
                </c:pt>
                <c:pt idx="515">
                  <c:v>44120</c:v>
                </c:pt>
                <c:pt idx="516">
                  <c:v>44123</c:v>
                </c:pt>
                <c:pt idx="517">
                  <c:v>44124</c:v>
                </c:pt>
                <c:pt idx="518">
                  <c:v>44125</c:v>
                </c:pt>
                <c:pt idx="519">
                  <c:v>44126</c:v>
                </c:pt>
                <c:pt idx="520">
                  <c:v>44127</c:v>
                </c:pt>
                <c:pt idx="521">
                  <c:v>44130</c:v>
                </c:pt>
                <c:pt idx="522">
                  <c:v>44131</c:v>
                </c:pt>
                <c:pt idx="523">
                  <c:v>44132</c:v>
                </c:pt>
                <c:pt idx="524">
                  <c:v>44133</c:v>
                </c:pt>
                <c:pt idx="525">
                  <c:v>44134</c:v>
                </c:pt>
                <c:pt idx="526">
                  <c:v>44137</c:v>
                </c:pt>
                <c:pt idx="527">
                  <c:v>44138</c:v>
                </c:pt>
                <c:pt idx="528">
                  <c:v>44139</c:v>
                </c:pt>
                <c:pt idx="529">
                  <c:v>44140</c:v>
                </c:pt>
                <c:pt idx="530">
                  <c:v>44141</c:v>
                </c:pt>
                <c:pt idx="531">
                  <c:v>44144</c:v>
                </c:pt>
                <c:pt idx="532">
                  <c:v>44145</c:v>
                </c:pt>
                <c:pt idx="533">
                  <c:v>44146</c:v>
                </c:pt>
                <c:pt idx="534">
                  <c:v>44147</c:v>
                </c:pt>
                <c:pt idx="535">
                  <c:v>44148</c:v>
                </c:pt>
                <c:pt idx="536">
                  <c:v>44149</c:v>
                </c:pt>
                <c:pt idx="537">
                  <c:v>44152</c:v>
                </c:pt>
                <c:pt idx="538">
                  <c:v>44153</c:v>
                </c:pt>
                <c:pt idx="539">
                  <c:v>44154</c:v>
                </c:pt>
                <c:pt idx="540">
                  <c:v>44155</c:v>
                </c:pt>
                <c:pt idx="541">
                  <c:v>44158</c:v>
                </c:pt>
                <c:pt idx="542">
                  <c:v>44159</c:v>
                </c:pt>
                <c:pt idx="543">
                  <c:v>44160</c:v>
                </c:pt>
                <c:pt idx="544">
                  <c:v>44161</c:v>
                </c:pt>
                <c:pt idx="545">
                  <c:v>44162</c:v>
                </c:pt>
                <c:pt idx="546">
                  <c:v>44166</c:v>
                </c:pt>
                <c:pt idx="547">
                  <c:v>44167</c:v>
                </c:pt>
                <c:pt idx="548">
                  <c:v>44168</c:v>
                </c:pt>
                <c:pt idx="549">
                  <c:v>44169</c:v>
                </c:pt>
                <c:pt idx="550">
                  <c:v>44172</c:v>
                </c:pt>
                <c:pt idx="551">
                  <c:v>44173</c:v>
                </c:pt>
                <c:pt idx="552">
                  <c:v>44174</c:v>
                </c:pt>
                <c:pt idx="553">
                  <c:v>44175</c:v>
                </c:pt>
                <c:pt idx="554">
                  <c:v>44176</c:v>
                </c:pt>
                <c:pt idx="555">
                  <c:v>44179</c:v>
                </c:pt>
                <c:pt idx="556">
                  <c:v>44180</c:v>
                </c:pt>
                <c:pt idx="557">
                  <c:v>44181</c:v>
                </c:pt>
                <c:pt idx="558">
                  <c:v>44182</c:v>
                </c:pt>
                <c:pt idx="559">
                  <c:v>44183</c:v>
                </c:pt>
                <c:pt idx="560">
                  <c:v>44186</c:v>
                </c:pt>
                <c:pt idx="561">
                  <c:v>44187</c:v>
                </c:pt>
                <c:pt idx="562">
                  <c:v>44188</c:v>
                </c:pt>
                <c:pt idx="563">
                  <c:v>44189</c:v>
                </c:pt>
                <c:pt idx="564">
                  <c:v>44193</c:v>
                </c:pt>
                <c:pt idx="565">
                  <c:v>44194</c:v>
                </c:pt>
                <c:pt idx="566">
                  <c:v>44195</c:v>
                </c:pt>
                <c:pt idx="567">
                  <c:v>44196</c:v>
                </c:pt>
                <c:pt idx="568">
                  <c:v>44197</c:v>
                </c:pt>
                <c:pt idx="569">
                  <c:v>44200</c:v>
                </c:pt>
                <c:pt idx="570">
                  <c:v>44201</c:v>
                </c:pt>
                <c:pt idx="571">
                  <c:v>44202</c:v>
                </c:pt>
                <c:pt idx="572">
                  <c:v>44203</c:v>
                </c:pt>
                <c:pt idx="573">
                  <c:v>44204</c:v>
                </c:pt>
                <c:pt idx="574">
                  <c:v>44207</c:v>
                </c:pt>
                <c:pt idx="575">
                  <c:v>44208</c:v>
                </c:pt>
                <c:pt idx="576">
                  <c:v>44209</c:v>
                </c:pt>
                <c:pt idx="577">
                  <c:v>44210</c:v>
                </c:pt>
                <c:pt idx="578">
                  <c:v>44211</c:v>
                </c:pt>
                <c:pt idx="579">
                  <c:v>44214</c:v>
                </c:pt>
                <c:pt idx="580">
                  <c:v>44215</c:v>
                </c:pt>
                <c:pt idx="581">
                  <c:v>44216</c:v>
                </c:pt>
                <c:pt idx="582">
                  <c:v>44217</c:v>
                </c:pt>
                <c:pt idx="583">
                  <c:v>44218</c:v>
                </c:pt>
                <c:pt idx="584">
                  <c:v>44221</c:v>
                </c:pt>
                <c:pt idx="585">
                  <c:v>44223</c:v>
                </c:pt>
                <c:pt idx="586">
                  <c:v>44224</c:v>
                </c:pt>
                <c:pt idx="587">
                  <c:v>44225</c:v>
                </c:pt>
                <c:pt idx="588">
                  <c:v>44228</c:v>
                </c:pt>
                <c:pt idx="589">
                  <c:v>44229</c:v>
                </c:pt>
                <c:pt idx="590">
                  <c:v>44230</c:v>
                </c:pt>
                <c:pt idx="591">
                  <c:v>44231</c:v>
                </c:pt>
                <c:pt idx="592">
                  <c:v>44232</c:v>
                </c:pt>
                <c:pt idx="593">
                  <c:v>44235</c:v>
                </c:pt>
                <c:pt idx="594">
                  <c:v>44236</c:v>
                </c:pt>
                <c:pt idx="595">
                  <c:v>44237</c:v>
                </c:pt>
                <c:pt idx="596">
                  <c:v>44238</c:v>
                </c:pt>
                <c:pt idx="597">
                  <c:v>44239</c:v>
                </c:pt>
                <c:pt idx="598">
                  <c:v>44242</c:v>
                </c:pt>
                <c:pt idx="599">
                  <c:v>44243</c:v>
                </c:pt>
                <c:pt idx="600">
                  <c:v>44244</c:v>
                </c:pt>
                <c:pt idx="601">
                  <c:v>44245</c:v>
                </c:pt>
                <c:pt idx="602">
                  <c:v>44246</c:v>
                </c:pt>
                <c:pt idx="603">
                  <c:v>44249</c:v>
                </c:pt>
                <c:pt idx="604">
                  <c:v>44250</c:v>
                </c:pt>
                <c:pt idx="605">
                  <c:v>44251</c:v>
                </c:pt>
                <c:pt idx="606">
                  <c:v>44252</c:v>
                </c:pt>
                <c:pt idx="607">
                  <c:v>44253</c:v>
                </c:pt>
                <c:pt idx="608">
                  <c:v>44256</c:v>
                </c:pt>
                <c:pt idx="609">
                  <c:v>44257</c:v>
                </c:pt>
                <c:pt idx="610">
                  <c:v>44258</c:v>
                </c:pt>
                <c:pt idx="611">
                  <c:v>44259</c:v>
                </c:pt>
                <c:pt idx="612">
                  <c:v>44260</c:v>
                </c:pt>
                <c:pt idx="613">
                  <c:v>44263</c:v>
                </c:pt>
                <c:pt idx="614">
                  <c:v>44264</c:v>
                </c:pt>
                <c:pt idx="615">
                  <c:v>44265</c:v>
                </c:pt>
                <c:pt idx="616">
                  <c:v>44267</c:v>
                </c:pt>
                <c:pt idx="617">
                  <c:v>44270</c:v>
                </c:pt>
                <c:pt idx="618">
                  <c:v>44271</c:v>
                </c:pt>
                <c:pt idx="619">
                  <c:v>44272</c:v>
                </c:pt>
                <c:pt idx="620">
                  <c:v>44273</c:v>
                </c:pt>
                <c:pt idx="621">
                  <c:v>44274</c:v>
                </c:pt>
                <c:pt idx="622">
                  <c:v>44277</c:v>
                </c:pt>
                <c:pt idx="623">
                  <c:v>44278</c:v>
                </c:pt>
                <c:pt idx="624">
                  <c:v>44279</c:v>
                </c:pt>
                <c:pt idx="625">
                  <c:v>44280</c:v>
                </c:pt>
                <c:pt idx="626">
                  <c:v>44281</c:v>
                </c:pt>
                <c:pt idx="627">
                  <c:v>44285</c:v>
                </c:pt>
                <c:pt idx="628">
                  <c:v>44286</c:v>
                </c:pt>
                <c:pt idx="629">
                  <c:v>44287</c:v>
                </c:pt>
                <c:pt idx="630">
                  <c:v>44291</c:v>
                </c:pt>
                <c:pt idx="631">
                  <c:v>44292</c:v>
                </c:pt>
                <c:pt idx="632">
                  <c:v>44293</c:v>
                </c:pt>
                <c:pt idx="633">
                  <c:v>44294</c:v>
                </c:pt>
                <c:pt idx="634">
                  <c:v>44295</c:v>
                </c:pt>
                <c:pt idx="635">
                  <c:v>44298</c:v>
                </c:pt>
                <c:pt idx="636">
                  <c:v>44299</c:v>
                </c:pt>
                <c:pt idx="637">
                  <c:v>44301</c:v>
                </c:pt>
                <c:pt idx="638">
                  <c:v>44302</c:v>
                </c:pt>
                <c:pt idx="639">
                  <c:v>44305</c:v>
                </c:pt>
                <c:pt idx="640">
                  <c:v>44306</c:v>
                </c:pt>
                <c:pt idx="641">
                  <c:v>44308</c:v>
                </c:pt>
                <c:pt idx="642">
                  <c:v>44309</c:v>
                </c:pt>
                <c:pt idx="643">
                  <c:v>44312</c:v>
                </c:pt>
                <c:pt idx="644">
                  <c:v>44313</c:v>
                </c:pt>
                <c:pt idx="645">
                  <c:v>44314</c:v>
                </c:pt>
                <c:pt idx="646">
                  <c:v>44315</c:v>
                </c:pt>
                <c:pt idx="647">
                  <c:v>44316</c:v>
                </c:pt>
                <c:pt idx="648">
                  <c:v>44319</c:v>
                </c:pt>
                <c:pt idx="649">
                  <c:v>44320</c:v>
                </c:pt>
                <c:pt idx="650">
                  <c:v>44321</c:v>
                </c:pt>
                <c:pt idx="651">
                  <c:v>44322</c:v>
                </c:pt>
                <c:pt idx="652">
                  <c:v>44323</c:v>
                </c:pt>
                <c:pt idx="653">
                  <c:v>44326</c:v>
                </c:pt>
                <c:pt idx="654">
                  <c:v>44327</c:v>
                </c:pt>
                <c:pt idx="655">
                  <c:v>44328</c:v>
                </c:pt>
                <c:pt idx="656">
                  <c:v>44330</c:v>
                </c:pt>
                <c:pt idx="657">
                  <c:v>44333</c:v>
                </c:pt>
                <c:pt idx="658">
                  <c:v>44334</c:v>
                </c:pt>
                <c:pt idx="659">
                  <c:v>44335</c:v>
                </c:pt>
                <c:pt idx="660">
                  <c:v>44336</c:v>
                </c:pt>
                <c:pt idx="661">
                  <c:v>44337</c:v>
                </c:pt>
                <c:pt idx="662">
                  <c:v>44340</c:v>
                </c:pt>
                <c:pt idx="663">
                  <c:v>44341</c:v>
                </c:pt>
                <c:pt idx="664">
                  <c:v>44342</c:v>
                </c:pt>
                <c:pt idx="665">
                  <c:v>44343</c:v>
                </c:pt>
                <c:pt idx="666">
                  <c:v>44344</c:v>
                </c:pt>
                <c:pt idx="667">
                  <c:v>44347</c:v>
                </c:pt>
                <c:pt idx="668">
                  <c:v>44348</c:v>
                </c:pt>
                <c:pt idx="669">
                  <c:v>44349</c:v>
                </c:pt>
                <c:pt idx="670">
                  <c:v>44350</c:v>
                </c:pt>
                <c:pt idx="671">
                  <c:v>44351</c:v>
                </c:pt>
                <c:pt idx="672">
                  <c:v>44354</c:v>
                </c:pt>
                <c:pt idx="673">
                  <c:v>44355</c:v>
                </c:pt>
                <c:pt idx="674">
                  <c:v>44356</c:v>
                </c:pt>
                <c:pt idx="675">
                  <c:v>44357</c:v>
                </c:pt>
                <c:pt idx="676">
                  <c:v>44358</c:v>
                </c:pt>
                <c:pt idx="677">
                  <c:v>44361</c:v>
                </c:pt>
                <c:pt idx="678">
                  <c:v>44362</c:v>
                </c:pt>
                <c:pt idx="679">
                  <c:v>44363</c:v>
                </c:pt>
                <c:pt idx="680">
                  <c:v>44364</c:v>
                </c:pt>
                <c:pt idx="681">
                  <c:v>44365</c:v>
                </c:pt>
                <c:pt idx="682">
                  <c:v>44368</c:v>
                </c:pt>
                <c:pt idx="683">
                  <c:v>44369</c:v>
                </c:pt>
                <c:pt idx="684">
                  <c:v>44370</c:v>
                </c:pt>
                <c:pt idx="685">
                  <c:v>44371</c:v>
                </c:pt>
                <c:pt idx="686">
                  <c:v>44372</c:v>
                </c:pt>
                <c:pt idx="687">
                  <c:v>44375</c:v>
                </c:pt>
                <c:pt idx="688">
                  <c:v>44376</c:v>
                </c:pt>
                <c:pt idx="689">
                  <c:v>44377</c:v>
                </c:pt>
                <c:pt idx="690">
                  <c:v>44378</c:v>
                </c:pt>
                <c:pt idx="691">
                  <c:v>44379</c:v>
                </c:pt>
                <c:pt idx="692">
                  <c:v>44382</c:v>
                </c:pt>
                <c:pt idx="693">
                  <c:v>44383</c:v>
                </c:pt>
                <c:pt idx="694">
                  <c:v>44384</c:v>
                </c:pt>
                <c:pt idx="695">
                  <c:v>44385</c:v>
                </c:pt>
                <c:pt idx="696">
                  <c:v>44386</c:v>
                </c:pt>
                <c:pt idx="697">
                  <c:v>44389</c:v>
                </c:pt>
                <c:pt idx="698">
                  <c:v>44390</c:v>
                </c:pt>
                <c:pt idx="699">
                  <c:v>44391</c:v>
                </c:pt>
                <c:pt idx="700">
                  <c:v>44392</c:v>
                </c:pt>
                <c:pt idx="701">
                  <c:v>44393</c:v>
                </c:pt>
                <c:pt idx="702">
                  <c:v>44396</c:v>
                </c:pt>
                <c:pt idx="703">
                  <c:v>44397</c:v>
                </c:pt>
                <c:pt idx="704">
                  <c:v>44399</c:v>
                </c:pt>
                <c:pt idx="705">
                  <c:v>44400</c:v>
                </c:pt>
                <c:pt idx="706">
                  <c:v>44403</c:v>
                </c:pt>
                <c:pt idx="707">
                  <c:v>44404</c:v>
                </c:pt>
                <c:pt idx="708">
                  <c:v>44405</c:v>
                </c:pt>
                <c:pt idx="709">
                  <c:v>44406</c:v>
                </c:pt>
                <c:pt idx="710">
                  <c:v>44407</c:v>
                </c:pt>
                <c:pt idx="711">
                  <c:v>44410</c:v>
                </c:pt>
                <c:pt idx="712">
                  <c:v>44411</c:v>
                </c:pt>
                <c:pt idx="713">
                  <c:v>44412</c:v>
                </c:pt>
                <c:pt idx="714">
                  <c:v>44413</c:v>
                </c:pt>
                <c:pt idx="715">
                  <c:v>44414</c:v>
                </c:pt>
                <c:pt idx="716">
                  <c:v>44417</c:v>
                </c:pt>
                <c:pt idx="717">
                  <c:v>44418</c:v>
                </c:pt>
                <c:pt idx="718">
                  <c:v>44419</c:v>
                </c:pt>
                <c:pt idx="719">
                  <c:v>44420</c:v>
                </c:pt>
                <c:pt idx="720">
                  <c:v>44421</c:v>
                </c:pt>
                <c:pt idx="721">
                  <c:v>44424</c:v>
                </c:pt>
                <c:pt idx="722">
                  <c:v>44425</c:v>
                </c:pt>
                <c:pt idx="723">
                  <c:v>44426</c:v>
                </c:pt>
                <c:pt idx="724">
                  <c:v>44428</c:v>
                </c:pt>
                <c:pt idx="725">
                  <c:v>44431</c:v>
                </c:pt>
                <c:pt idx="726">
                  <c:v>44432</c:v>
                </c:pt>
                <c:pt idx="727">
                  <c:v>44433</c:v>
                </c:pt>
                <c:pt idx="728">
                  <c:v>44434</c:v>
                </c:pt>
                <c:pt idx="729">
                  <c:v>44435</c:v>
                </c:pt>
                <c:pt idx="730">
                  <c:v>44438</c:v>
                </c:pt>
                <c:pt idx="731">
                  <c:v>44439</c:v>
                </c:pt>
                <c:pt idx="732">
                  <c:v>44440</c:v>
                </c:pt>
                <c:pt idx="733">
                  <c:v>44441</c:v>
                </c:pt>
                <c:pt idx="734">
                  <c:v>44442</c:v>
                </c:pt>
                <c:pt idx="735">
                  <c:v>44445</c:v>
                </c:pt>
                <c:pt idx="736">
                  <c:v>44446</c:v>
                </c:pt>
                <c:pt idx="737">
                  <c:v>44447</c:v>
                </c:pt>
                <c:pt idx="738">
                  <c:v>44448</c:v>
                </c:pt>
                <c:pt idx="739">
                  <c:v>44452</c:v>
                </c:pt>
                <c:pt idx="740">
                  <c:v>44453</c:v>
                </c:pt>
                <c:pt idx="741">
                  <c:v>44454</c:v>
                </c:pt>
                <c:pt idx="742">
                  <c:v>44455</c:v>
                </c:pt>
                <c:pt idx="743">
                  <c:v>44456</c:v>
                </c:pt>
                <c:pt idx="744">
                  <c:v>44459</c:v>
                </c:pt>
                <c:pt idx="745">
                  <c:v>44460</c:v>
                </c:pt>
                <c:pt idx="746">
                  <c:v>44461</c:v>
                </c:pt>
                <c:pt idx="747">
                  <c:v>44462</c:v>
                </c:pt>
                <c:pt idx="748">
                  <c:v>44463</c:v>
                </c:pt>
                <c:pt idx="749">
                  <c:v>44466</c:v>
                </c:pt>
                <c:pt idx="750">
                  <c:v>44467</c:v>
                </c:pt>
                <c:pt idx="751">
                  <c:v>44468</c:v>
                </c:pt>
                <c:pt idx="752">
                  <c:v>44469</c:v>
                </c:pt>
                <c:pt idx="753">
                  <c:v>44470</c:v>
                </c:pt>
                <c:pt idx="754">
                  <c:v>44473</c:v>
                </c:pt>
                <c:pt idx="755">
                  <c:v>44474</c:v>
                </c:pt>
                <c:pt idx="756">
                  <c:v>44475</c:v>
                </c:pt>
                <c:pt idx="757">
                  <c:v>44476</c:v>
                </c:pt>
                <c:pt idx="758">
                  <c:v>44477</c:v>
                </c:pt>
                <c:pt idx="759">
                  <c:v>44480</c:v>
                </c:pt>
                <c:pt idx="760">
                  <c:v>44481</c:v>
                </c:pt>
                <c:pt idx="761">
                  <c:v>44482</c:v>
                </c:pt>
                <c:pt idx="762">
                  <c:v>44483</c:v>
                </c:pt>
                <c:pt idx="763">
                  <c:v>44487</c:v>
                </c:pt>
                <c:pt idx="764">
                  <c:v>44488</c:v>
                </c:pt>
                <c:pt idx="765">
                  <c:v>44489</c:v>
                </c:pt>
                <c:pt idx="766">
                  <c:v>44490</c:v>
                </c:pt>
                <c:pt idx="767">
                  <c:v>44491</c:v>
                </c:pt>
                <c:pt idx="768">
                  <c:v>44494</c:v>
                </c:pt>
                <c:pt idx="769">
                  <c:v>44495</c:v>
                </c:pt>
                <c:pt idx="770">
                  <c:v>44496</c:v>
                </c:pt>
                <c:pt idx="771">
                  <c:v>44497</c:v>
                </c:pt>
                <c:pt idx="772">
                  <c:v>44498</c:v>
                </c:pt>
                <c:pt idx="773">
                  <c:v>44501</c:v>
                </c:pt>
                <c:pt idx="774">
                  <c:v>44502</c:v>
                </c:pt>
                <c:pt idx="775">
                  <c:v>44503</c:v>
                </c:pt>
                <c:pt idx="776">
                  <c:v>44504</c:v>
                </c:pt>
                <c:pt idx="777">
                  <c:v>44508</c:v>
                </c:pt>
                <c:pt idx="778">
                  <c:v>44509</c:v>
                </c:pt>
                <c:pt idx="779">
                  <c:v>44510</c:v>
                </c:pt>
                <c:pt idx="780">
                  <c:v>44511</c:v>
                </c:pt>
                <c:pt idx="781">
                  <c:v>44512</c:v>
                </c:pt>
                <c:pt idx="782">
                  <c:v>44515</c:v>
                </c:pt>
                <c:pt idx="783">
                  <c:v>44516</c:v>
                </c:pt>
                <c:pt idx="784">
                  <c:v>44517</c:v>
                </c:pt>
                <c:pt idx="785">
                  <c:v>44518</c:v>
                </c:pt>
                <c:pt idx="786">
                  <c:v>44522</c:v>
                </c:pt>
                <c:pt idx="787">
                  <c:v>44523</c:v>
                </c:pt>
                <c:pt idx="788">
                  <c:v>44524</c:v>
                </c:pt>
                <c:pt idx="789">
                  <c:v>44525</c:v>
                </c:pt>
                <c:pt idx="790">
                  <c:v>44526</c:v>
                </c:pt>
                <c:pt idx="791">
                  <c:v>44529</c:v>
                </c:pt>
                <c:pt idx="792">
                  <c:v>44530</c:v>
                </c:pt>
                <c:pt idx="793">
                  <c:v>44531</c:v>
                </c:pt>
                <c:pt idx="794">
                  <c:v>44532</c:v>
                </c:pt>
                <c:pt idx="795">
                  <c:v>44533</c:v>
                </c:pt>
                <c:pt idx="796">
                  <c:v>44536</c:v>
                </c:pt>
                <c:pt idx="797">
                  <c:v>44537</c:v>
                </c:pt>
                <c:pt idx="798">
                  <c:v>44538</c:v>
                </c:pt>
                <c:pt idx="799">
                  <c:v>44539</c:v>
                </c:pt>
                <c:pt idx="800">
                  <c:v>44540</c:v>
                </c:pt>
                <c:pt idx="801">
                  <c:v>44543</c:v>
                </c:pt>
                <c:pt idx="802">
                  <c:v>44544</c:v>
                </c:pt>
                <c:pt idx="803">
                  <c:v>44545</c:v>
                </c:pt>
                <c:pt idx="804">
                  <c:v>44546</c:v>
                </c:pt>
                <c:pt idx="805">
                  <c:v>44547</c:v>
                </c:pt>
                <c:pt idx="806">
                  <c:v>44550</c:v>
                </c:pt>
                <c:pt idx="807">
                  <c:v>44551</c:v>
                </c:pt>
                <c:pt idx="808">
                  <c:v>44552</c:v>
                </c:pt>
                <c:pt idx="809">
                  <c:v>44553</c:v>
                </c:pt>
                <c:pt idx="810">
                  <c:v>44554</c:v>
                </c:pt>
                <c:pt idx="811">
                  <c:v>44557</c:v>
                </c:pt>
                <c:pt idx="812">
                  <c:v>44558</c:v>
                </c:pt>
                <c:pt idx="813">
                  <c:v>44559</c:v>
                </c:pt>
                <c:pt idx="814">
                  <c:v>44560</c:v>
                </c:pt>
                <c:pt idx="815">
                  <c:v>44561</c:v>
                </c:pt>
                <c:pt idx="816">
                  <c:v>44564</c:v>
                </c:pt>
                <c:pt idx="817">
                  <c:v>44565</c:v>
                </c:pt>
                <c:pt idx="818">
                  <c:v>44566</c:v>
                </c:pt>
                <c:pt idx="819">
                  <c:v>44567</c:v>
                </c:pt>
                <c:pt idx="820">
                  <c:v>44568</c:v>
                </c:pt>
                <c:pt idx="821">
                  <c:v>44571</c:v>
                </c:pt>
                <c:pt idx="822">
                  <c:v>44572</c:v>
                </c:pt>
                <c:pt idx="823">
                  <c:v>44573</c:v>
                </c:pt>
                <c:pt idx="824">
                  <c:v>44574</c:v>
                </c:pt>
                <c:pt idx="825">
                  <c:v>44575</c:v>
                </c:pt>
                <c:pt idx="826">
                  <c:v>44578</c:v>
                </c:pt>
                <c:pt idx="827">
                  <c:v>44579</c:v>
                </c:pt>
                <c:pt idx="828">
                  <c:v>44580</c:v>
                </c:pt>
                <c:pt idx="829">
                  <c:v>44581</c:v>
                </c:pt>
                <c:pt idx="830">
                  <c:v>44582</c:v>
                </c:pt>
                <c:pt idx="831">
                  <c:v>44585</c:v>
                </c:pt>
                <c:pt idx="832">
                  <c:v>44586</c:v>
                </c:pt>
                <c:pt idx="833">
                  <c:v>44588</c:v>
                </c:pt>
                <c:pt idx="834">
                  <c:v>44589</c:v>
                </c:pt>
                <c:pt idx="835">
                  <c:v>44592</c:v>
                </c:pt>
                <c:pt idx="836">
                  <c:v>44593</c:v>
                </c:pt>
                <c:pt idx="837">
                  <c:v>44594</c:v>
                </c:pt>
                <c:pt idx="838">
                  <c:v>44595</c:v>
                </c:pt>
                <c:pt idx="839">
                  <c:v>44596</c:v>
                </c:pt>
                <c:pt idx="840">
                  <c:v>44599</c:v>
                </c:pt>
                <c:pt idx="841">
                  <c:v>44600</c:v>
                </c:pt>
                <c:pt idx="842">
                  <c:v>44601</c:v>
                </c:pt>
                <c:pt idx="843">
                  <c:v>44602</c:v>
                </c:pt>
                <c:pt idx="844">
                  <c:v>44603</c:v>
                </c:pt>
                <c:pt idx="845">
                  <c:v>44606</c:v>
                </c:pt>
                <c:pt idx="846">
                  <c:v>44607</c:v>
                </c:pt>
                <c:pt idx="847">
                  <c:v>44608</c:v>
                </c:pt>
                <c:pt idx="848">
                  <c:v>44609</c:v>
                </c:pt>
                <c:pt idx="849">
                  <c:v>44610</c:v>
                </c:pt>
                <c:pt idx="850">
                  <c:v>44613</c:v>
                </c:pt>
                <c:pt idx="851">
                  <c:v>44614</c:v>
                </c:pt>
                <c:pt idx="852">
                  <c:v>44615</c:v>
                </c:pt>
                <c:pt idx="853">
                  <c:v>44616</c:v>
                </c:pt>
                <c:pt idx="854">
                  <c:v>44617</c:v>
                </c:pt>
                <c:pt idx="855">
                  <c:v>44620</c:v>
                </c:pt>
                <c:pt idx="856">
                  <c:v>44622</c:v>
                </c:pt>
                <c:pt idx="857">
                  <c:v>44623</c:v>
                </c:pt>
                <c:pt idx="858">
                  <c:v>44624</c:v>
                </c:pt>
                <c:pt idx="859">
                  <c:v>44627</c:v>
                </c:pt>
                <c:pt idx="860">
                  <c:v>44628</c:v>
                </c:pt>
                <c:pt idx="861">
                  <c:v>44629</c:v>
                </c:pt>
                <c:pt idx="862">
                  <c:v>44630</c:v>
                </c:pt>
                <c:pt idx="863">
                  <c:v>44631</c:v>
                </c:pt>
                <c:pt idx="864">
                  <c:v>44634</c:v>
                </c:pt>
                <c:pt idx="865">
                  <c:v>44635</c:v>
                </c:pt>
                <c:pt idx="866">
                  <c:v>44636</c:v>
                </c:pt>
                <c:pt idx="867">
                  <c:v>44637</c:v>
                </c:pt>
                <c:pt idx="868">
                  <c:v>44641</c:v>
                </c:pt>
                <c:pt idx="869">
                  <c:v>44642</c:v>
                </c:pt>
                <c:pt idx="870">
                  <c:v>44643</c:v>
                </c:pt>
                <c:pt idx="871">
                  <c:v>44644</c:v>
                </c:pt>
                <c:pt idx="872">
                  <c:v>44645</c:v>
                </c:pt>
                <c:pt idx="873">
                  <c:v>44648</c:v>
                </c:pt>
                <c:pt idx="874">
                  <c:v>44649</c:v>
                </c:pt>
                <c:pt idx="875">
                  <c:v>44650</c:v>
                </c:pt>
                <c:pt idx="876">
                  <c:v>44651</c:v>
                </c:pt>
                <c:pt idx="877">
                  <c:v>44652</c:v>
                </c:pt>
                <c:pt idx="878">
                  <c:v>44655</c:v>
                </c:pt>
                <c:pt idx="879">
                  <c:v>44656</c:v>
                </c:pt>
                <c:pt idx="880">
                  <c:v>44657</c:v>
                </c:pt>
                <c:pt idx="881">
                  <c:v>44658</c:v>
                </c:pt>
                <c:pt idx="882">
                  <c:v>44659</c:v>
                </c:pt>
                <c:pt idx="883">
                  <c:v>44662</c:v>
                </c:pt>
                <c:pt idx="884">
                  <c:v>44663</c:v>
                </c:pt>
                <c:pt idx="885">
                  <c:v>44664</c:v>
                </c:pt>
                <c:pt idx="886">
                  <c:v>44669</c:v>
                </c:pt>
                <c:pt idx="887">
                  <c:v>44670</c:v>
                </c:pt>
                <c:pt idx="888">
                  <c:v>44671</c:v>
                </c:pt>
                <c:pt idx="889">
                  <c:v>44672</c:v>
                </c:pt>
                <c:pt idx="890">
                  <c:v>44673</c:v>
                </c:pt>
                <c:pt idx="891">
                  <c:v>44676</c:v>
                </c:pt>
                <c:pt idx="892">
                  <c:v>44677</c:v>
                </c:pt>
                <c:pt idx="893">
                  <c:v>44678</c:v>
                </c:pt>
                <c:pt idx="894">
                  <c:v>44679</c:v>
                </c:pt>
                <c:pt idx="895">
                  <c:v>44680</c:v>
                </c:pt>
                <c:pt idx="896">
                  <c:v>44683</c:v>
                </c:pt>
                <c:pt idx="897">
                  <c:v>44685</c:v>
                </c:pt>
                <c:pt idx="898">
                  <c:v>44686</c:v>
                </c:pt>
                <c:pt idx="899">
                  <c:v>44687</c:v>
                </c:pt>
                <c:pt idx="900">
                  <c:v>44690</c:v>
                </c:pt>
                <c:pt idx="901">
                  <c:v>44691</c:v>
                </c:pt>
                <c:pt idx="902">
                  <c:v>44692</c:v>
                </c:pt>
                <c:pt idx="903">
                  <c:v>44693</c:v>
                </c:pt>
                <c:pt idx="904">
                  <c:v>44694</c:v>
                </c:pt>
                <c:pt idx="905">
                  <c:v>44697</c:v>
                </c:pt>
                <c:pt idx="906">
                  <c:v>44698</c:v>
                </c:pt>
                <c:pt idx="907">
                  <c:v>44699</c:v>
                </c:pt>
                <c:pt idx="908">
                  <c:v>44700</c:v>
                </c:pt>
                <c:pt idx="909">
                  <c:v>44701</c:v>
                </c:pt>
                <c:pt idx="910">
                  <c:v>44704</c:v>
                </c:pt>
                <c:pt idx="911">
                  <c:v>44705</c:v>
                </c:pt>
                <c:pt idx="912">
                  <c:v>44706</c:v>
                </c:pt>
                <c:pt idx="913">
                  <c:v>44707</c:v>
                </c:pt>
                <c:pt idx="914">
                  <c:v>44708</c:v>
                </c:pt>
                <c:pt idx="915">
                  <c:v>44711</c:v>
                </c:pt>
                <c:pt idx="916">
                  <c:v>44712</c:v>
                </c:pt>
                <c:pt idx="917">
                  <c:v>44713</c:v>
                </c:pt>
                <c:pt idx="918">
                  <c:v>44714</c:v>
                </c:pt>
                <c:pt idx="919">
                  <c:v>44715</c:v>
                </c:pt>
                <c:pt idx="920">
                  <c:v>44718</c:v>
                </c:pt>
                <c:pt idx="921">
                  <c:v>44719</c:v>
                </c:pt>
                <c:pt idx="922">
                  <c:v>44720</c:v>
                </c:pt>
                <c:pt idx="923">
                  <c:v>44721</c:v>
                </c:pt>
                <c:pt idx="924">
                  <c:v>44722</c:v>
                </c:pt>
                <c:pt idx="925">
                  <c:v>44725</c:v>
                </c:pt>
                <c:pt idx="926">
                  <c:v>44726</c:v>
                </c:pt>
                <c:pt idx="927">
                  <c:v>44727</c:v>
                </c:pt>
                <c:pt idx="928">
                  <c:v>44728</c:v>
                </c:pt>
                <c:pt idx="929">
                  <c:v>44729</c:v>
                </c:pt>
                <c:pt idx="930">
                  <c:v>44732</c:v>
                </c:pt>
                <c:pt idx="931">
                  <c:v>44733</c:v>
                </c:pt>
                <c:pt idx="932">
                  <c:v>44734</c:v>
                </c:pt>
                <c:pt idx="933">
                  <c:v>44735</c:v>
                </c:pt>
                <c:pt idx="934">
                  <c:v>44736</c:v>
                </c:pt>
                <c:pt idx="935">
                  <c:v>44739</c:v>
                </c:pt>
                <c:pt idx="936">
                  <c:v>44740</c:v>
                </c:pt>
                <c:pt idx="937">
                  <c:v>44741</c:v>
                </c:pt>
                <c:pt idx="938">
                  <c:v>44742</c:v>
                </c:pt>
                <c:pt idx="939">
                  <c:v>44743</c:v>
                </c:pt>
                <c:pt idx="940">
                  <c:v>44746</c:v>
                </c:pt>
                <c:pt idx="941">
                  <c:v>44747</c:v>
                </c:pt>
                <c:pt idx="942">
                  <c:v>44748</c:v>
                </c:pt>
                <c:pt idx="943">
                  <c:v>44749</c:v>
                </c:pt>
                <c:pt idx="944">
                  <c:v>44750</c:v>
                </c:pt>
                <c:pt idx="945">
                  <c:v>44753</c:v>
                </c:pt>
                <c:pt idx="946">
                  <c:v>44754</c:v>
                </c:pt>
                <c:pt idx="947">
                  <c:v>44755</c:v>
                </c:pt>
                <c:pt idx="948">
                  <c:v>44756</c:v>
                </c:pt>
                <c:pt idx="949">
                  <c:v>44757</c:v>
                </c:pt>
                <c:pt idx="950">
                  <c:v>44760</c:v>
                </c:pt>
                <c:pt idx="951">
                  <c:v>44761</c:v>
                </c:pt>
                <c:pt idx="952">
                  <c:v>44762</c:v>
                </c:pt>
                <c:pt idx="953">
                  <c:v>44763</c:v>
                </c:pt>
                <c:pt idx="954">
                  <c:v>44764</c:v>
                </c:pt>
                <c:pt idx="955">
                  <c:v>44767</c:v>
                </c:pt>
                <c:pt idx="956">
                  <c:v>44768</c:v>
                </c:pt>
                <c:pt idx="957">
                  <c:v>44769</c:v>
                </c:pt>
                <c:pt idx="958">
                  <c:v>44770</c:v>
                </c:pt>
                <c:pt idx="959">
                  <c:v>44771</c:v>
                </c:pt>
                <c:pt idx="960">
                  <c:v>44774</c:v>
                </c:pt>
                <c:pt idx="961">
                  <c:v>44775</c:v>
                </c:pt>
                <c:pt idx="962">
                  <c:v>44776</c:v>
                </c:pt>
                <c:pt idx="963">
                  <c:v>44777</c:v>
                </c:pt>
                <c:pt idx="964">
                  <c:v>44778</c:v>
                </c:pt>
                <c:pt idx="965">
                  <c:v>44781</c:v>
                </c:pt>
                <c:pt idx="966">
                  <c:v>44783</c:v>
                </c:pt>
                <c:pt idx="967">
                  <c:v>44784</c:v>
                </c:pt>
                <c:pt idx="968">
                  <c:v>44785</c:v>
                </c:pt>
                <c:pt idx="969">
                  <c:v>44789</c:v>
                </c:pt>
                <c:pt idx="970">
                  <c:v>44790</c:v>
                </c:pt>
                <c:pt idx="971">
                  <c:v>44791</c:v>
                </c:pt>
                <c:pt idx="972">
                  <c:v>44792</c:v>
                </c:pt>
                <c:pt idx="973">
                  <c:v>44795</c:v>
                </c:pt>
                <c:pt idx="974">
                  <c:v>44796</c:v>
                </c:pt>
                <c:pt idx="975">
                  <c:v>44797</c:v>
                </c:pt>
                <c:pt idx="976">
                  <c:v>44798</c:v>
                </c:pt>
                <c:pt idx="977">
                  <c:v>44799</c:v>
                </c:pt>
                <c:pt idx="978">
                  <c:v>44802</c:v>
                </c:pt>
                <c:pt idx="979">
                  <c:v>44803</c:v>
                </c:pt>
                <c:pt idx="980">
                  <c:v>44805</c:v>
                </c:pt>
                <c:pt idx="981">
                  <c:v>44806</c:v>
                </c:pt>
                <c:pt idx="982">
                  <c:v>44809</c:v>
                </c:pt>
                <c:pt idx="983">
                  <c:v>44810</c:v>
                </c:pt>
                <c:pt idx="984">
                  <c:v>44811</c:v>
                </c:pt>
                <c:pt idx="985">
                  <c:v>44812</c:v>
                </c:pt>
                <c:pt idx="986">
                  <c:v>44813</c:v>
                </c:pt>
                <c:pt idx="987">
                  <c:v>44816</c:v>
                </c:pt>
                <c:pt idx="988">
                  <c:v>44817</c:v>
                </c:pt>
                <c:pt idx="989">
                  <c:v>44818</c:v>
                </c:pt>
                <c:pt idx="990">
                  <c:v>44819</c:v>
                </c:pt>
                <c:pt idx="991">
                  <c:v>44820</c:v>
                </c:pt>
                <c:pt idx="992">
                  <c:v>44823</c:v>
                </c:pt>
                <c:pt idx="993">
                  <c:v>44824</c:v>
                </c:pt>
                <c:pt idx="994">
                  <c:v>44825</c:v>
                </c:pt>
                <c:pt idx="995">
                  <c:v>44826</c:v>
                </c:pt>
                <c:pt idx="996">
                  <c:v>44827</c:v>
                </c:pt>
                <c:pt idx="997">
                  <c:v>44830</c:v>
                </c:pt>
                <c:pt idx="998">
                  <c:v>44831</c:v>
                </c:pt>
                <c:pt idx="999">
                  <c:v>44832</c:v>
                </c:pt>
                <c:pt idx="1000">
                  <c:v>44833</c:v>
                </c:pt>
                <c:pt idx="1001">
                  <c:v>44834</c:v>
                </c:pt>
                <c:pt idx="1002">
                  <c:v>44837</c:v>
                </c:pt>
                <c:pt idx="1003">
                  <c:v>44838</c:v>
                </c:pt>
                <c:pt idx="1004">
                  <c:v>44840</c:v>
                </c:pt>
                <c:pt idx="1005">
                  <c:v>44841</c:v>
                </c:pt>
                <c:pt idx="1006">
                  <c:v>44844</c:v>
                </c:pt>
                <c:pt idx="1007">
                  <c:v>44845</c:v>
                </c:pt>
                <c:pt idx="1008">
                  <c:v>44846</c:v>
                </c:pt>
                <c:pt idx="1009">
                  <c:v>44847</c:v>
                </c:pt>
                <c:pt idx="1010">
                  <c:v>44848</c:v>
                </c:pt>
                <c:pt idx="1011">
                  <c:v>44851</c:v>
                </c:pt>
                <c:pt idx="1012">
                  <c:v>44852</c:v>
                </c:pt>
                <c:pt idx="1013">
                  <c:v>44853</c:v>
                </c:pt>
                <c:pt idx="1014">
                  <c:v>44854</c:v>
                </c:pt>
                <c:pt idx="1015">
                  <c:v>44855</c:v>
                </c:pt>
                <c:pt idx="1016">
                  <c:v>44858</c:v>
                </c:pt>
                <c:pt idx="1017">
                  <c:v>44859</c:v>
                </c:pt>
                <c:pt idx="1018">
                  <c:v>44861</c:v>
                </c:pt>
                <c:pt idx="1019">
                  <c:v>44862</c:v>
                </c:pt>
                <c:pt idx="1020">
                  <c:v>44865</c:v>
                </c:pt>
                <c:pt idx="1021">
                  <c:v>44866</c:v>
                </c:pt>
                <c:pt idx="1022">
                  <c:v>44867</c:v>
                </c:pt>
                <c:pt idx="1023">
                  <c:v>44868</c:v>
                </c:pt>
                <c:pt idx="1024">
                  <c:v>44869</c:v>
                </c:pt>
                <c:pt idx="1025">
                  <c:v>44872</c:v>
                </c:pt>
                <c:pt idx="1026">
                  <c:v>44874</c:v>
                </c:pt>
                <c:pt idx="1027">
                  <c:v>44875</c:v>
                </c:pt>
                <c:pt idx="1028">
                  <c:v>44876</c:v>
                </c:pt>
                <c:pt idx="1029">
                  <c:v>44879</c:v>
                </c:pt>
                <c:pt idx="1030">
                  <c:v>44880</c:v>
                </c:pt>
                <c:pt idx="1031">
                  <c:v>44881</c:v>
                </c:pt>
                <c:pt idx="1032">
                  <c:v>44882</c:v>
                </c:pt>
                <c:pt idx="1033">
                  <c:v>44883</c:v>
                </c:pt>
                <c:pt idx="1034">
                  <c:v>44886</c:v>
                </c:pt>
                <c:pt idx="1035">
                  <c:v>44887</c:v>
                </c:pt>
                <c:pt idx="1036">
                  <c:v>44888</c:v>
                </c:pt>
                <c:pt idx="1037">
                  <c:v>44889</c:v>
                </c:pt>
                <c:pt idx="1038">
                  <c:v>44890</c:v>
                </c:pt>
                <c:pt idx="1039">
                  <c:v>44893</c:v>
                </c:pt>
                <c:pt idx="1040">
                  <c:v>44894</c:v>
                </c:pt>
                <c:pt idx="1041">
                  <c:v>44895</c:v>
                </c:pt>
                <c:pt idx="1042">
                  <c:v>44896</c:v>
                </c:pt>
                <c:pt idx="1043">
                  <c:v>44897</c:v>
                </c:pt>
                <c:pt idx="1044">
                  <c:v>44900</c:v>
                </c:pt>
                <c:pt idx="1045">
                  <c:v>44901</c:v>
                </c:pt>
                <c:pt idx="1046">
                  <c:v>44902</c:v>
                </c:pt>
                <c:pt idx="1047">
                  <c:v>44903</c:v>
                </c:pt>
                <c:pt idx="1048">
                  <c:v>44904</c:v>
                </c:pt>
                <c:pt idx="1049">
                  <c:v>44907</c:v>
                </c:pt>
                <c:pt idx="1050">
                  <c:v>44908</c:v>
                </c:pt>
                <c:pt idx="1051">
                  <c:v>44909</c:v>
                </c:pt>
                <c:pt idx="1052">
                  <c:v>44910</c:v>
                </c:pt>
                <c:pt idx="1053">
                  <c:v>44911</c:v>
                </c:pt>
                <c:pt idx="1054">
                  <c:v>44914</c:v>
                </c:pt>
                <c:pt idx="1055">
                  <c:v>44915</c:v>
                </c:pt>
                <c:pt idx="1056">
                  <c:v>44916</c:v>
                </c:pt>
                <c:pt idx="1057">
                  <c:v>44917</c:v>
                </c:pt>
                <c:pt idx="1058">
                  <c:v>44918</c:v>
                </c:pt>
                <c:pt idx="1059">
                  <c:v>44921</c:v>
                </c:pt>
                <c:pt idx="1060">
                  <c:v>44922</c:v>
                </c:pt>
                <c:pt idx="1061">
                  <c:v>44923</c:v>
                </c:pt>
                <c:pt idx="1062">
                  <c:v>44924</c:v>
                </c:pt>
                <c:pt idx="1063">
                  <c:v>44925</c:v>
                </c:pt>
                <c:pt idx="1064">
                  <c:v>44928</c:v>
                </c:pt>
                <c:pt idx="1065">
                  <c:v>44929</c:v>
                </c:pt>
                <c:pt idx="1066">
                  <c:v>44930</c:v>
                </c:pt>
                <c:pt idx="1067">
                  <c:v>44931</c:v>
                </c:pt>
                <c:pt idx="1068">
                  <c:v>44932</c:v>
                </c:pt>
                <c:pt idx="1069">
                  <c:v>44935</c:v>
                </c:pt>
                <c:pt idx="1070">
                  <c:v>44936</c:v>
                </c:pt>
                <c:pt idx="1071">
                  <c:v>44937</c:v>
                </c:pt>
                <c:pt idx="1072">
                  <c:v>44938</c:v>
                </c:pt>
                <c:pt idx="1073">
                  <c:v>44939</c:v>
                </c:pt>
                <c:pt idx="1074">
                  <c:v>44942</c:v>
                </c:pt>
                <c:pt idx="1075">
                  <c:v>44943</c:v>
                </c:pt>
                <c:pt idx="1076">
                  <c:v>44944</c:v>
                </c:pt>
                <c:pt idx="1077">
                  <c:v>44945</c:v>
                </c:pt>
                <c:pt idx="1078">
                  <c:v>44946</c:v>
                </c:pt>
                <c:pt idx="1079">
                  <c:v>44949</c:v>
                </c:pt>
                <c:pt idx="1080">
                  <c:v>44950</c:v>
                </c:pt>
                <c:pt idx="1081">
                  <c:v>44951</c:v>
                </c:pt>
                <c:pt idx="1082">
                  <c:v>44953</c:v>
                </c:pt>
                <c:pt idx="1083">
                  <c:v>44956</c:v>
                </c:pt>
                <c:pt idx="1084">
                  <c:v>44957</c:v>
                </c:pt>
                <c:pt idx="1085">
                  <c:v>44958</c:v>
                </c:pt>
                <c:pt idx="1086">
                  <c:v>44959</c:v>
                </c:pt>
                <c:pt idx="1087">
                  <c:v>44960</c:v>
                </c:pt>
                <c:pt idx="1088">
                  <c:v>44963</c:v>
                </c:pt>
                <c:pt idx="1089">
                  <c:v>44964</c:v>
                </c:pt>
                <c:pt idx="1090">
                  <c:v>44965</c:v>
                </c:pt>
                <c:pt idx="1091">
                  <c:v>44966</c:v>
                </c:pt>
                <c:pt idx="1092">
                  <c:v>44967</c:v>
                </c:pt>
                <c:pt idx="1093">
                  <c:v>44970</c:v>
                </c:pt>
                <c:pt idx="1094">
                  <c:v>44971</c:v>
                </c:pt>
                <c:pt idx="1095">
                  <c:v>44972</c:v>
                </c:pt>
                <c:pt idx="1096">
                  <c:v>44973</c:v>
                </c:pt>
                <c:pt idx="1097">
                  <c:v>44974</c:v>
                </c:pt>
                <c:pt idx="1098">
                  <c:v>44977</c:v>
                </c:pt>
                <c:pt idx="1099">
                  <c:v>44978</c:v>
                </c:pt>
                <c:pt idx="1100">
                  <c:v>44979</c:v>
                </c:pt>
                <c:pt idx="1101">
                  <c:v>44980</c:v>
                </c:pt>
                <c:pt idx="1102">
                  <c:v>44981</c:v>
                </c:pt>
                <c:pt idx="1103">
                  <c:v>44984</c:v>
                </c:pt>
                <c:pt idx="1104">
                  <c:v>44985</c:v>
                </c:pt>
                <c:pt idx="1105">
                  <c:v>44986</c:v>
                </c:pt>
                <c:pt idx="1106">
                  <c:v>44987</c:v>
                </c:pt>
                <c:pt idx="1107">
                  <c:v>44988</c:v>
                </c:pt>
                <c:pt idx="1108">
                  <c:v>44991</c:v>
                </c:pt>
                <c:pt idx="1109">
                  <c:v>44993</c:v>
                </c:pt>
                <c:pt idx="1110">
                  <c:v>44994</c:v>
                </c:pt>
                <c:pt idx="1111">
                  <c:v>44995</c:v>
                </c:pt>
                <c:pt idx="1112">
                  <c:v>44998</c:v>
                </c:pt>
                <c:pt idx="1113">
                  <c:v>44999</c:v>
                </c:pt>
                <c:pt idx="1114">
                  <c:v>45000</c:v>
                </c:pt>
                <c:pt idx="1115">
                  <c:v>45001</c:v>
                </c:pt>
                <c:pt idx="1116">
                  <c:v>45002</c:v>
                </c:pt>
                <c:pt idx="1117">
                  <c:v>45005</c:v>
                </c:pt>
                <c:pt idx="1118">
                  <c:v>45006</c:v>
                </c:pt>
                <c:pt idx="1119">
                  <c:v>45007</c:v>
                </c:pt>
                <c:pt idx="1120">
                  <c:v>45008</c:v>
                </c:pt>
                <c:pt idx="1121">
                  <c:v>45009</c:v>
                </c:pt>
                <c:pt idx="1122">
                  <c:v>45012</c:v>
                </c:pt>
                <c:pt idx="1123">
                  <c:v>45013</c:v>
                </c:pt>
                <c:pt idx="1124">
                  <c:v>45014</c:v>
                </c:pt>
                <c:pt idx="1125">
                  <c:v>45016</c:v>
                </c:pt>
                <c:pt idx="1126">
                  <c:v>45019</c:v>
                </c:pt>
                <c:pt idx="1127">
                  <c:v>45021</c:v>
                </c:pt>
                <c:pt idx="1128">
                  <c:v>45022</c:v>
                </c:pt>
                <c:pt idx="1129">
                  <c:v>45026</c:v>
                </c:pt>
                <c:pt idx="1130">
                  <c:v>45027</c:v>
                </c:pt>
                <c:pt idx="1131">
                  <c:v>45028</c:v>
                </c:pt>
                <c:pt idx="1132">
                  <c:v>45029</c:v>
                </c:pt>
                <c:pt idx="1133">
                  <c:v>45033</c:v>
                </c:pt>
                <c:pt idx="1134">
                  <c:v>45034</c:v>
                </c:pt>
                <c:pt idx="1135">
                  <c:v>45035</c:v>
                </c:pt>
                <c:pt idx="1136">
                  <c:v>45036</c:v>
                </c:pt>
                <c:pt idx="1137">
                  <c:v>45037</c:v>
                </c:pt>
                <c:pt idx="1138">
                  <c:v>45040</c:v>
                </c:pt>
                <c:pt idx="1139">
                  <c:v>45041</c:v>
                </c:pt>
                <c:pt idx="1140">
                  <c:v>45042</c:v>
                </c:pt>
                <c:pt idx="1141">
                  <c:v>45043</c:v>
                </c:pt>
                <c:pt idx="1142">
                  <c:v>45044</c:v>
                </c:pt>
                <c:pt idx="1143">
                  <c:v>45048</c:v>
                </c:pt>
                <c:pt idx="1144">
                  <c:v>45049</c:v>
                </c:pt>
                <c:pt idx="1145">
                  <c:v>45050</c:v>
                </c:pt>
                <c:pt idx="1146">
                  <c:v>45051</c:v>
                </c:pt>
                <c:pt idx="1147">
                  <c:v>45054</c:v>
                </c:pt>
                <c:pt idx="1148">
                  <c:v>45055</c:v>
                </c:pt>
                <c:pt idx="1149">
                  <c:v>45056</c:v>
                </c:pt>
                <c:pt idx="1150">
                  <c:v>45057</c:v>
                </c:pt>
                <c:pt idx="1151">
                  <c:v>45058</c:v>
                </c:pt>
                <c:pt idx="1152">
                  <c:v>45061</c:v>
                </c:pt>
                <c:pt idx="1153">
                  <c:v>45062</c:v>
                </c:pt>
                <c:pt idx="1154">
                  <c:v>45063</c:v>
                </c:pt>
                <c:pt idx="1155">
                  <c:v>45064</c:v>
                </c:pt>
                <c:pt idx="1156">
                  <c:v>45065</c:v>
                </c:pt>
                <c:pt idx="1157">
                  <c:v>45068</c:v>
                </c:pt>
                <c:pt idx="1158">
                  <c:v>45069</c:v>
                </c:pt>
                <c:pt idx="1159">
                  <c:v>45070</c:v>
                </c:pt>
                <c:pt idx="1160">
                  <c:v>45071</c:v>
                </c:pt>
                <c:pt idx="1161">
                  <c:v>45072</c:v>
                </c:pt>
                <c:pt idx="1162">
                  <c:v>45075</c:v>
                </c:pt>
                <c:pt idx="1163">
                  <c:v>45076</c:v>
                </c:pt>
                <c:pt idx="1164">
                  <c:v>45077</c:v>
                </c:pt>
                <c:pt idx="1165">
                  <c:v>45078</c:v>
                </c:pt>
                <c:pt idx="1166">
                  <c:v>45079</c:v>
                </c:pt>
                <c:pt idx="1167">
                  <c:v>45082</c:v>
                </c:pt>
                <c:pt idx="1168">
                  <c:v>45083</c:v>
                </c:pt>
                <c:pt idx="1169">
                  <c:v>45084</c:v>
                </c:pt>
                <c:pt idx="1170">
                  <c:v>45085</c:v>
                </c:pt>
                <c:pt idx="1171">
                  <c:v>45086</c:v>
                </c:pt>
                <c:pt idx="1172">
                  <c:v>45089</c:v>
                </c:pt>
                <c:pt idx="1173">
                  <c:v>45090</c:v>
                </c:pt>
                <c:pt idx="1174">
                  <c:v>45091</c:v>
                </c:pt>
                <c:pt idx="1175">
                  <c:v>45092</c:v>
                </c:pt>
                <c:pt idx="1176">
                  <c:v>45093</c:v>
                </c:pt>
                <c:pt idx="1177">
                  <c:v>45096</c:v>
                </c:pt>
                <c:pt idx="1178">
                  <c:v>45097</c:v>
                </c:pt>
                <c:pt idx="1179">
                  <c:v>45098</c:v>
                </c:pt>
                <c:pt idx="1180">
                  <c:v>45099</c:v>
                </c:pt>
                <c:pt idx="1181">
                  <c:v>45100</c:v>
                </c:pt>
                <c:pt idx="1182">
                  <c:v>45103</c:v>
                </c:pt>
                <c:pt idx="1183">
                  <c:v>45104</c:v>
                </c:pt>
                <c:pt idx="1184">
                  <c:v>45105</c:v>
                </c:pt>
                <c:pt idx="1185">
                  <c:v>45107</c:v>
                </c:pt>
                <c:pt idx="1186">
                  <c:v>45110</c:v>
                </c:pt>
                <c:pt idx="1187">
                  <c:v>45111</c:v>
                </c:pt>
                <c:pt idx="1188">
                  <c:v>45112</c:v>
                </c:pt>
                <c:pt idx="1189">
                  <c:v>45113</c:v>
                </c:pt>
                <c:pt idx="1190">
                  <c:v>45114</c:v>
                </c:pt>
                <c:pt idx="1191">
                  <c:v>45117</c:v>
                </c:pt>
                <c:pt idx="1192">
                  <c:v>45118</c:v>
                </c:pt>
                <c:pt idx="1193">
                  <c:v>45119</c:v>
                </c:pt>
                <c:pt idx="1194">
                  <c:v>45120</c:v>
                </c:pt>
                <c:pt idx="1195">
                  <c:v>45121</c:v>
                </c:pt>
                <c:pt idx="1196">
                  <c:v>45124</c:v>
                </c:pt>
                <c:pt idx="1197">
                  <c:v>45125</c:v>
                </c:pt>
                <c:pt idx="1198">
                  <c:v>45126</c:v>
                </c:pt>
                <c:pt idx="1199">
                  <c:v>45127</c:v>
                </c:pt>
                <c:pt idx="1200">
                  <c:v>45128</c:v>
                </c:pt>
                <c:pt idx="1201">
                  <c:v>45131</c:v>
                </c:pt>
                <c:pt idx="1202">
                  <c:v>45132</c:v>
                </c:pt>
                <c:pt idx="1203">
                  <c:v>45133</c:v>
                </c:pt>
                <c:pt idx="1204">
                  <c:v>45134</c:v>
                </c:pt>
                <c:pt idx="1205">
                  <c:v>45135</c:v>
                </c:pt>
                <c:pt idx="1206">
                  <c:v>45138</c:v>
                </c:pt>
                <c:pt idx="1207">
                  <c:v>45139</c:v>
                </c:pt>
                <c:pt idx="1208">
                  <c:v>45140</c:v>
                </c:pt>
                <c:pt idx="1209">
                  <c:v>45141</c:v>
                </c:pt>
                <c:pt idx="1210">
                  <c:v>45142</c:v>
                </c:pt>
                <c:pt idx="1211">
                  <c:v>45145</c:v>
                </c:pt>
                <c:pt idx="1212">
                  <c:v>45146</c:v>
                </c:pt>
                <c:pt idx="1213">
                  <c:v>45147</c:v>
                </c:pt>
                <c:pt idx="1214">
                  <c:v>45148</c:v>
                </c:pt>
                <c:pt idx="1215">
                  <c:v>45149</c:v>
                </c:pt>
                <c:pt idx="1216">
                  <c:v>45152</c:v>
                </c:pt>
                <c:pt idx="1217">
                  <c:v>45154</c:v>
                </c:pt>
                <c:pt idx="1218">
                  <c:v>45155</c:v>
                </c:pt>
                <c:pt idx="1219">
                  <c:v>45156</c:v>
                </c:pt>
                <c:pt idx="1220">
                  <c:v>45159</c:v>
                </c:pt>
                <c:pt idx="1221">
                  <c:v>45160</c:v>
                </c:pt>
                <c:pt idx="1222">
                  <c:v>45161</c:v>
                </c:pt>
                <c:pt idx="1223">
                  <c:v>45162</c:v>
                </c:pt>
                <c:pt idx="1224">
                  <c:v>45163</c:v>
                </c:pt>
                <c:pt idx="1225">
                  <c:v>45166</c:v>
                </c:pt>
                <c:pt idx="1226">
                  <c:v>45167</c:v>
                </c:pt>
                <c:pt idx="1227">
                  <c:v>45168</c:v>
                </c:pt>
                <c:pt idx="1228">
                  <c:v>45169</c:v>
                </c:pt>
                <c:pt idx="1229">
                  <c:v>45170</c:v>
                </c:pt>
                <c:pt idx="1230">
                  <c:v>45173</c:v>
                </c:pt>
                <c:pt idx="1231">
                  <c:v>45174</c:v>
                </c:pt>
                <c:pt idx="1232">
                  <c:v>45175</c:v>
                </c:pt>
                <c:pt idx="1233">
                  <c:v>45176</c:v>
                </c:pt>
                <c:pt idx="1234">
                  <c:v>45177</c:v>
                </c:pt>
                <c:pt idx="1235">
                  <c:v>45180</c:v>
                </c:pt>
                <c:pt idx="1236">
                  <c:v>45181</c:v>
                </c:pt>
                <c:pt idx="1237">
                  <c:v>45182</c:v>
                </c:pt>
              </c:numCache>
            </c:numRef>
          </c:cat>
          <c:val>
            <c:numRef>
              <c:f>'[1]ITC Historical Data (1)'!$B$2:$B$1239</c:f>
              <c:numCache>
                <c:formatCode>General</c:formatCode>
                <c:ptCount val="1238"/>
                <c:pt idx="0">
                  <c:v>307.14662138716471</c:v>
                </c:pt>
                <c:pt idx="1">
                  <c:v>302.05074452508018</c:v>
                </c:pt>
                <c:pt idx="2">
                  <c:v>303.23756725974238</c:v>
                </c:pt>
                <c:pt idx="3">
                  <c:v>299.68566259384863</c:v>
                </c:pt>
                <c:pt idx="4">
                  <c:v>303.90623750179975</c:v>
                </c:pt>
                <c:pt idx="5">
                  <c:v>298.00870771541992</c:v>
                </c:pt>
                <c:pt idx="6">
                  <c:v>301.11778039749743</c:v>
                </c:pt>
                <c:pt idx="7">
                  <c:v>293.22799864764022</c:v>
                </c:pt>
                <c:pt idx="8">
                  <c:v>293.29853350733248</c:v>
                </c:pt>
                <c:pt idx="9">
                  <c:v>297.70474887817056</c:v>
                </c:pt>
                <c:pt idx="10">
                  <c:v>297.10653634379958</c:v>
                </c:pt>
                <c:pt idx="11">
                  <c:v>295.21889400921657</c:v>
                </c:pt>
                <c:pt idx="12">
                  <c:v>287.17868696022714</c:v>
                </c:pt>
                <c:pt idx="13">
                  <c:v>276.60206616241391</c:v>
                </c:pt>
                <c:pt idx="14">
                  <c:v>273.23251466924563</c:v>
                </c:pt>
                <c:pt idx="15">
                  <c:v>268.54618994467046</c:v>
                </c:pt>
                <c:pt idx="16">
                  <c:v>270.08379497230169</c:v>
                </c:pt>
                <c:pt idx="17">
                  <c:v>265.24800988979001</c:v>
                </c:pt>
                <c:pt idx="18">
                  <c:v>275.09628869916037</c:v>
                </c:pt>
                <c:pt idx="19">
                  <c:v>282.42515733330669</c:v>
                </c:pt>
                <c:pt idx="20">
                  <c:v>282.6485867570662</c:v>
                </c:pt>
                <c:pt idx="21">
                  <c:v>286.41162084280705</c:v>
                </c:pt>
                <c:pt idx="22">
                  <c:v>289.41961094085121</c:v>
                </c:pt>
                <c:pt idx="23">
                  <c:v>288.50952081418683</c:v>
                </c:pt>
                <c:pt idx="24">
                  <c:v>286.02488416492236</c:v>
                </c:pt>
                <c:pt idx="25">
                  <c:v>287.7324483206524</c:v>
                </c:pt>
                <c:pt idx="26">
                  <c:v>287.55201286409005</c:v>
                </c:pt>
                <c:pt idx="27">
                  <c:v>280.96490289256815</c:v>
                </c:pt>
                <c:pt idx="28">
                  <c:v>283.47363695176352</c:v>
                </c:pt>
                <c:pt idx="29">
                  <c:v>278.99463914226277</c:v>
                </c:pt>
                <c:pt idx="30">
                  <c:v>280.08851637082881</c:v>
                </c:pt>
                <c:pt idx="31">
                  <c:v>277.4266329567638</c:v>
                </c:pt>
                <c:pt idx="32">
                  <c:v>283.190246857913</c:v>
                </c:pt>
                <c:pt idx="33">
                  <c:v>279.6360730534239</c:v>
                </c:pt>
                <c:pt idx="34">
                  <c:v>277.32274046471815</c:v>
                </c:pt>
                <c:pt idx="35">
                  <c:v>280.02227779449834</c:v>
                </c:pt>
                <c:pt idx="36">
                  <c:v>277.27772777277727</c:v>
                </c:pt>
                <c:pt idx="37">
                  <c:v>273.88368769358635</c:v>
                </c:pt>
                <c:pt idx="38">
                  <c:v>276.81954984951653</c:v>
                </c:pt>
                <c:pt idx="39">
                  <c:v>276.45387035418491</c:v>
                </c:pt>
                <c:pt idx="40">
                  <c:v>274.51949088385277</c:v>
                </c:pt>
                <c:pt idx="41">
                  <c:v>276.52926030547707</c:v>
                </c:pt>
                <c:pt idx="42">
                  <c:v>284.41837192725689</c:v>
                </c:pt>
                <c:pt idx="43">
                  <c:v>283.85652870016014</c:v>
                </c:pt>
                <c:pt idx="44">
                  <c:v>281.7708510429772</c:v>
                </c:pt>
                <c:pt idx="45">
                  <c:v>280.5123425430719</c:v>
                </c:pt>
                <c:pt idx="46">
                  <c:v>285.59745006918723</c:v>
                </c:pt>
                <c:pt idx="47">
                  <c:v>284.85797602332866</c:v>
                </c:pt>
                <c:pt idx="48">
                  <c:v>282.22624704097478</c:v>
                </c:pt>
                <c:pt idx="49">
                  <c:v>287.4953758785831</c:v>
                </c:pt>
                <c:pt idx="50">
                  <c:v>285.81743486352667</c:v>
                </c:pt>
                <c:pt idx="51">
                  <c:v>282.97829782978295</c:v>
                </c:pt>
                <c:pt idx="52">
                  <c:v>281.86099257871058</c:v>
                </c:pt>
                <c:pt idx="53">
                  <c:v>275.41362054634624</c:v>
                </c:pt>
                <c:pt idx="54">
                  <c:v>273.07293812680268</c:v>
                </c:pt>
                <c:pt idx="55">
                  <c:v>274.03986052516058</c:v>
                </c:pt>
                <c:pt idx="56">
                  <c:v>270.48543359180053</c:v>
                </c:pt>
                <c:pt idx="57">
                  <c:v>274.65687887001741</c:v>
                </c:pt>
                <c:pt idx="58">
                  <c:v>276.03647421276361</c:v>
                </c:pt>
                <c:pt idx="59">
                  <c:v>275.30743330069913</c:v>
                </c:pt>
                <c:pt idx="60">
                  <c:v>275.74558807059088</c:v>
                </c:pt>
                <c:pt idx="61">
                  <c:v>279.80830856202431</c:v>
                </c:pt>
                <c:pt idx="62">
                  <c:v>278.16696818505926</c:v>
                </c:pt>
                <c:pt idx="63">
                  <c:v>283.39587138856479</c:v>
                </c:pt>
                <c:pt idx="64">
                  <c:v>282.65791442160378</c:v>
                </c:pt>
                <c:pt idx="65">
                  <c:v>276.8078528412438</c:v>
                </c:pt>
                <c:pt idx="66">
                  <c:v>276.00745220120945</c:v>
                </c:pt>
                <c:pt idx="67">
                  <c:v>276.64336055934655</c:v>
                </c:pt>
                <c:pt idx="68">
                  <c:v>280.708455148638</c:v>
                </c:pt>
                <c:pt idx="69">
                  <c:v>282.23504154279823</c:v>
                </c:pt>
                <c:pt idx="70">
                  <c:v>281.65591477421026</c:v>
                </c:pt>
                <c:pt idx="71">
                  <c:v>282.68954048700198</c:v>
                </c:pt>
                <c:pt idx="72">
                  <c:v>280.62076593667933</c:v>
                </c:pt>
                <c:pt idx="73">
                  <c:v>278.86728977196589</c:v>
                </c:pt>
                <c:pt idx="74">
                  <c:v>280.92893033022523</c:v>
                </c:pt>
                <c:pt idx="75">
                  <c:v>281.64295892602684</c:v>
                </c:pt>
                <c:pt idx="76">
                  <c:v>284.2238514056707</c:v>
                </c:pt>
                <c:pt idx="77">
                  <c:v>290.33728714597646</c:v>
                </c:pt>
                <c:pt idx="78">
                  <c:v>289.60810902705276</c:v>
                </c:pt>
                <c:pt idx="79">
                  <c:v>295.29123704382829</c:v>
                </c:pt>
                <c:pt idx="80">
                  <c:v>294.31059518142655</c:v>
                </c:pt>
                <c:pt idx="81">
                  <c:v>296.52746391274263</c:v>
                </c:pt>
                <c:pt idx="82">
                  <c:v>294.07470227499113</c:v>
                </c:pt>
                <c:pt idx="83">
                  <c:v>293.95088185264552</c:v>
                </c:pt>
                <c:pt idx="84">
                  <c:v>291.47477535590525</c:v>
                </c:pt>
                <c:pt idx="85">
                  <c:v>289.91536551437224</c:v>
                </c:pt>
                <c:pt idx="86">
                  <c:v>289.75144875724379</c:v>
                </c:pt>
                <c:pt idx="87">
                  <c:v>277.41929029482679</c:v>
                </c:pt>
                <c:pt idx="88">
                  <c:v>278.88382473816517</c:v>
                </c:pt>
                <c:pt idx="89">
                  <c:v>279.19692883378281</c:v>
                </c:pt>
                <c:pt idx="90">
                  <c:v>274.79369219705933</c:v>
                </c:pt>
                <c:pt idx="91">
                  <c:v>278.41241432406622</c:v>
                </c:pt>
                <c:pt idx="92">
                  <c:v>275.52920609584618</c:v>
                </c:pt>
                <c:pt idx="93">
                  <c:v>278.61823752092261</c:v>
                </c:pt>
                <c:pt idx="94">
                  <c:v>280.82781460264641</c:v>
                </c:pt>
                <c:pt idx="95">
                  <c:v>277.13713637627444</c:v>
                </c:pt>
                <c:pt idx="96">
                  <c:v>274.17906298067595</c:v>
                </c:pt>
                <c:pt idx="97">
                  <c:v>277.6641813206096</c:v>
                </c:pt>
                <c:pt idx="98">
                  <c:v>280.27365427649801</c:v>
                </c:pt>
                <c:pt idx="99">
                  <c:v>275.54711855727328</c:v>
                </c:pt>
                <c:pt idx="100">
                  <c:v>277.08392913211037</c:v>
                </c:pt>
                <c:pt idx="101">
                  <c:v>275.31789566321811</c:v>
                </c:pt>
                <c:pt idx="102">
                  <c:v>276.83449726815297</c:v>
                </c:pt>
                <c:pt idx="103">
                  <c:v>277.88944020127235</c:v>
                </c:pt>
                <c:pt idx="104">
                  <c:v>280.07787384796603</c:v>
                </c:pt>
                <c:pt idx="105">
                  <c:v>274.75302733427549</c:v>
                </c:pt>
                <c:pt idx="106">
                  <c:v>275.88786093411892</c:v>
                </c:pt>
                <c:pt idx="107">
                  <c:v>275.85055170110343</c:v>
                </c:pt>
                <c:pt idx="108">
                  <c:v>275.05797668132374</c:v>
                </c:pt>
                <c:pt idx="109">
                  <c:v>274.30740629997013</c:v>
                </c:pt>
                <c:pt idx="110">
                  <c:v>276.67592919416012</c:v>
                </c:pt>
                <c:pt idx="111">
                  <c:v>275.51184700942139</c:v>
                </c:pt>
                <c:pt idx="112">
                  <c:v>275.10412656189845</c:v>
                </c:pt>
                <c:pt idx="113">
                  <c:v>276.04033858814944</c:v>
                </c:pt>
                <c:pt idx="114">
                  <c:v>278.17830209243675</c:v>
                </c:pt>
                <c:pt idx="115">
                  <c:v>282.50592907506427</c:v>
                </c:pt>
                <c:pt idx="116">
                  <c:v>285.71771389832946</c:v>
                </c:pt>
                <c:pt idx="117">
                  <c:v>290.05591150145182</c:v>
                </c:pt>
                <c:pt idx="118">
                  <c:v>291.9810212336198</c:v>
                </c:pt>
                <c:pt idx="119">
                  <c:v>292.94033296901205</c:v>
                </c:pt>
                <c:pt idx="120">
                  <c:v>294.48439232720665</c:v>
                </c:pt>
                <c:pt idx="121">
                  <c:v>294.89587145779956</c:v>
                </c:pt>
                <c:pt idx="122">
                  <c:v>295.49409011819768</c:v>
                </c:pt>
                <c:pt idx="123">
                  <c:v>290.84624455288395</c:v>
                </c:pt>
                <c:pt idx="124">
                  <c:v>293.72033424624118</c:v>
                </c:pt>
                <c:pt idx="125">
                  <c:v>299.3919179679142</c:v>
                </c:pt>
                <c:pt idx="126">
                  <c:v>298.90538029684529</c:v>
                </c:pt>
                <c:pt idx="127">
                  <c:v>298.20685875775143</c:v>
                </c:pt>
                <c:pt idx="128">
                  <c:v>295.08127861553328</c:v>
                </c:pt>
                <c:pt idx="129">
                  <c:v>293.41643132015389</c:v>
                </c:pt>
                <c:pt idx="130">
                  <c:v>293.1029310293103</c:v>
                </c:pt>
                <c:pt idx="131">
                  <c:v>299.92951656360754</c:v>
                </c:pt>
                <c:pt idx="132">
                  <c:v>297.27734951615548</c:v>
                </c:pt>
                <c:pt idx="133">
                  <c:v>297.25</c:v>
                </c:pt>
                <c:pt idx="134">
                  <c:v>297.8934463441804</c:v>
                </c:pt>
                <c:pt idx="135">
                  <c:v>296.16747388095894</c:v>
                </c:pt>
                <c:pt idx="136">
                  <c:v>294.81356142382549</c:v>
                </c:pt>
                <c:pt idx="137">
                  <c:v>294.55235641885139</c:v>
                </c:pt>
                <c:pt idx="138">
                  <c:v>292.76785883938919</c:v>
                </c:pt>
                <c:pt idx="139">
                  <c:v>296.26415203760342</c:v>
                </c:pt>
                <c:pt idx="140">
                  <c:v>294.71591465939161</c:v>
                </c:pt>
                <c:pt idx="141">
                  <c:v>296.38280979703177</c:v>
                </c:pt>
                <c:pt idx="142">
                  <c:v>305.65371907849027</c:v>
                </c:pt>
                <c:pt idx="143">
                  <c:v>305.50244401955217</c:v>
                </c:pt>
                <c:pt idx="144">
                  <c:v>307.1827977633252</c:v>
                </c:pt>
                <c:pt idx="145">
                  <c:v>304.42770292096577</c:v>
                </c:pt>
                <c:pt idx="146">
                  <c:v>301.82565518069038</c:v>
                </c:pt>
                <c:pt idx="147">
                  <c:v>303.3839206522054</c:v>
                </c:pt>
                <c:pt idx="148">
                  <c:v>306.41905167578074</c:v>
                </c:pt>
                <c:pt idx="149">
                  <c:v>304.17281296097207</c:v>
                </c:pt>
                <c:pt idx="150">
                  <c:v>304.5460409014683</c:v>
                </c:pt>
                <c:pt idx="151">
                  <c:v>301.38164507273268</c:v>
                </c:pt>
                <c:pt idx="152">
                  <c:v>304.96309946496473</c:v>
                </c:pt>
                <c:pt idx="153">
                  <c:v>304.257606440161</c:v>
                </c:pt>
                <c:pt idx="154">
                  <c:v>306.97237248647622</c:v>
                </c:pt>
                <c:pt idx="155">
                  <c:v>301.95012372053759</c:v>
                </c:pt>
                <c:pt idx="156">
                  <c:v>300.66232715541332</c:v>
                </c:pt>
                <c:pt idx="157">
                  <c:v>299.85809616859655</c:v>
                </c:pt>
                <c:pt idx="158">
                  <c:v>297.77084395907713</c:v>
                </c:pt>
                <c:pt idx="159">
                  <c:v>289.38218454040947</c:v>
                </c:pt>
                <c:pt idx="160">
                  <c:v>294.29849776289149</c:v>
                </c:pt>
                <c:pt idx="161">
                  <c:v>297.02267391399994</c:v>
                </c:pt>
                <c:pt idx="162">
                  <c:v>294.77269749770733</c:v>
                </c:pt>
                <c:pt idx="163">
                  <c:v>301.33189899082805</c:v>
                </c:pt>
                <c:pt idx="164">
                  <c:v>306.94290861899685</c:v>
                </c:pt>
                <c:pt idx="165">
                  <c:v>305.91101279646068</c:v>
                </c:pt>
                <c:pt idx="166">
                  <c:v>299.81026186263438</c:v>
                </c:pt>
                <c:pt idx="167">
                  <c:v>288.31099973489791</c:v>
                </c:pt>
                <c:pt idx="168">
                  <c:v>290.42734666695998</c:v>
                </c:pt>
                <c:pt idx="169">
                  <c:v>290.84592815700586</c:v>
                </c:pt>
                <c:pt idx="170">
                  <c:v>288.919357596959</c:v>
                </c:pt>
                <c:pt idx="171">
                  <c:v>288.10806702587678</c:v>
                </c:pt>
                <c:pt idx="172">
                  <c:v>288.64451575420065</c:v>
                </c:pt>
                <c:pt idx="173">
                  <c:v>278.64752663432199</c:v>
                </c:pt>
                <c:pt idx="174">
                  <c:v>278.55</c:v>
                </c:pt>
                <c:pt idx="175">
                  <c:v>279.24301892452689</c:v>
                </c:pt>
                <c:pt idx="176">
                  <c:v>275.78447305913238</c:v>
                </c:pt>
                <c:pt idx="177">
                  <c:v>275.2549545891826</c:v>
                </c:pt>
                <c:pt idx="178">
                  <c:v>279.35781696963755</c:v>
                </c:pt>
                <c:pt idx="179">
                  <c:v>279.84552247164049</c:v>
                </c:pt>
                <c:pt idx="180">
                  <c:v>279.94888020447922</c:v>
                </c:pt>
                <c:pt idx="181">
                  <c:v>280.59354634843396</c:v>
                </c:pt>
                <c:pt idx="182">
                  <c:v>278.07530485274162</c:v>
                </c:pt>
                <c:pt idx="183">
                  <c:v>275.03025332786609</c:v>
                </c:pt>
                <c:pt idx="184">
                  <c:v>275.09889960440165</c:v>
                </c:pt>
                <c:pt idx="185">
                  <c:v>277.1789344009855</c:v>
                </c:pt>
                <c:pt idx="186">
                  <c:v>277.00193901357306</c:v>
                </c:pt>
                <c:pt idx="187">
                  <c:v>274.2771534381904</c:v>
                </c:pt>
                <c:pt idx="188">
                  <c:v>276.22983522202878</c:v>
                </c:pt>
                <c:pt idx="189">
                  <c:v>278.4774433270905</c:v>
                </c:pt>
                <c:pt idx="190">
                  <c:v>277.41081902194185</c:v>
                </c:pt>
                <c:pt idx="191">
                  <c:v>273.53856893822029</c:v>
                </c:pt>
                <c:pt idx="192">
                  <c:v>273.84643999628008</c:v>
                </c:pt>
                <c:pt idx="193">
                  <c:v>274.93900243990237</c:v>
                </c:pt>
                <c:pt idx="194">
                  <c:v>273.86095443817754</c:v>
                </c:pt>
                <c:pt idx="195">
                  <c:v>276.67122619247596</c:v>
                </c:pt>
                <c:pt idx="196">
                  <c:v>277.64056022095247</c:v>
                </c:pt>
                <c:pt idx="197">
                  <c:v>279.4318369305995</c:v>
                </c:pt>
                <c:pt idx="198">
                  <c:v>277.46997783840436</c:v>
                </c:pt>
                <c:pt idx="199">
                  <c:v>273.14288343269897</c:v>
                </c:pt>
                <c:pt idx="200">
                  <c:v>273.14945370109257</c:v>
                </c:pt>
                <c:pt idx="201">
                  <c:v>275.62464253288698</c:v>
                </c:pt>
                <c:pt idx="202">
                  <c:v>275.05605123312711</c:v>
                </c:pt>
                <c:pt idx="203">
                  <c:v>270.99037756625734</c:v>
                </c:pt>
                <c:pt idx="204">
                  <c:v>271.93993822228572</c:v>
                </c:pt>
                <c:pt idx="205">
                  <c:v>272.89044883429079</c:v>
                </c:pt>
                <c:pt idx="206">
                  <c:v>272.99890800436799</c:v>
                </c:pt>
                <c:pt idx="207">
                  <c:v>268.34615553875267</c:v>
                </c:pt>
                <c:pt idx="208">
                  <c:v>264.43834355981613</c:v>
                </c:pt>
                <c:pt idx="209">
                  <c:v>270.58614167056572</c:v>
                </c:pt>
                <c:pt idx="210">
                  <c:v>270.84810406327153</c:v>
                </c:pt>
                <c:pt idx="211">
                  <c:v>267.87973465054625</c:v>
                </c:pt>
                <c:pt idx="212">
                  <c:v>270.37431444012816</c:v>
                </c:pt>
                <c:pt idx="213">
                  <c:v>267.77624207172306</c:v>
                </c:pt>
                <c:pt idx="214">
                  <c:v>268.88843779717467</c:v>
                </c:pt>
                <c:pt idx="215">
                  <c:v>270.18703102251089</c:v>
                </c:pt>
                <c:pt idx="216">
                  <c:v>267.57622246980208</c:v>
                </c:pt>
                <c:pt idx="217">
                  <c:v>264.53015643783391</c:v>
                </c:pt>
                <c:pt idx="218">
                  <c:v>259.84625263296869</c:v>
                </c:pt>
                <c:pt idx="219">
                  <c:v>258.9090618171636</c:v>
                </c:pt>
                <c:pt idx="220">
                  <c:v>253.70150140478518</c:v>
                </c:pt>
                <c:pt idx="221">
                  <c:v>257.70825126329532</c:v>
                </c:pt>
                <c:pt idx="222">
                  <c:v>254.23508444165293</c:v>
                </c:pt>
                <c:pt idx="223">
                  <c:v>246.37662312979336</c:v>
                </c:pt>
                <c:pt idx="224">
                  <c:v>248.7253761877574</c:v>
                </c:pt>
                <c:pt idx="225">
                  <c:v>252.95674439670819</c:v>
                </c:pt>
                <c:pt idx="226">
                  <c:v>251.56433916733255</c:v>
                </c:pt>
                <c:pt idx="227">
                  <c:v>246.54955646084863</c:v>
                </c:pt>
                <c:pt idx="228">
                  <c:v>241.49950739901678</c:v>
                </c:pt>
                <c:pt idx="229">
                  <c:v>240.06392370757504</c:v>
                </c:pt>
                <c:pt idx="230">
                  <c:v>236.13896292888325</c:v>
                </c:pt>
                <c:pt idx="231">
                  <c:v>242.43430030461747</c:v>
                </c:pt>
                <c:pt idx="232">
                  <c:v>245.46956177433998</c:v>
                </c:pt>
                <c:pt idx="233">
                  <c:v>245.94557297968635</c:v>
                </c:pt>
                <c:pt idx="234">
                  <c:v>241.24656058619311</c:v>
                </c:pt>
                <c:pt idx="235">
                  <c:v>245.60480871519641</c:v>
                </c:pt>
                <c:pt idx="236">
                  <c:v>241.59034558771316</c:v>
                </c:pt>
                <c:pt idx="237">
                  <c:v>243.23297369184158</c:v>
                </c:pt>
                <c:pt idx="238">
                  <c:v>244.23998616056744</c:v>
                </c:pt>
                <c:pt idx="239">
                  <c:v>243.90341464780508</c:v>
                </c:pt>
                <c:pt idx="240">
                  <c:v>245.48379806932746</c:v>
                </c:pt>
                <c:pt idx="241">
                  <c:v>243.76730747883101</c:v>
                </c:pt>
                <c:pt idx="242">
                  <c:v>240.7796158927548</c:v>
                </c:pt>
                <c:pt idx="243">
                  <c:v>239.90839679388779</c:v>
                </c:pt>
                <c:pt idx="244">
                  <c:v>239.40502750557764</c:v>
                </c:pt>
                <c:pt idx="245">
                  <c:v>237.2218244078455</c:v>
                </c:pt>
                <c:pt idx="246">
                  <c:v>239.22942626934082</c:v>
                </c:pt>
                <c:pt idx="247">
                  <c:v>236.72532961026829</c:v>
                </c:pt>
                <c:pt idx="248">
                  <c:v>238.03643192338038</c:v>
                </c:pt>
                <c:pt idx="249">
                  <c:v>254.67020283679719</c:v>
                </c:pt>
                <c:pt idx="250">
                  <c:v>255.98848051837666</c:v>
                </c:pt>
                <c:pt idx="251">
                  <c:v>247.63171846709417</c:v>
                </c:pt>
                <c:pt idx="252">
                  <c:v>250.3712073111592</c:v>
                </c:pt>
                <c:pt idx="253">
                  <c:v>252.92420173142338</c:v>
                </c:pt>
                <c:pt idx="254">
                  <c:v>259.77908031107512</c:v>
                </c:pt>
                <c:pt idx="255">
                  <c:v>255.93890271321243</c:v>
                </c:pt>
                <c:pt idx="256">
                  <c:v>261.59114199305156</c:v>
                </c:pt>
                <c:pt idx="257">
                  <c:v>257.29322526184399</c:v>
                </c:pt>
                <c:pt idx="258">
                  <c:v>251.95240610046889</c:v>
                </c:pt>
                <c:pt idx="259">
                  <c:v>247.14720511617719</c:v>
                </c:pt>
                <c:pt idx="260">
                  <c:v>243.2384316722042</c:v>
                </c:pt>
                <c:pt idx="261">
                  <c:v>243.94243778442871</c:v>
                </c:pt>
                <c:pt idx="262">
                  <c:v>244.09853540878754</c:v>
                </c:pt>
                <c:pt idx="263">
                  <c:v>247.56459826244847</c:v>
                </c:pt>
                <c:pt idx="264">
                  <c:v>243.68899023843818</c:v>
                </c:pt>
                <c:pt idx="265">
                  <c:v>245.82787549120582</c:v>
                </c:pt>
                <c:pt idx="266">
                  <c:v>246.49359116662964</c:v>
                </c:pt>
                <c:pt idx="267">
                  <c:v>248.87585904167295</c:v>
                </c:pt>
                <c:pt idx="268">
                  <c:v>251.02841155660613</c:v>
                </c:pt>
                <c:pt idx="269">
                  <c:v>249.06992559404753</c:v>
                </c:pt>
                <c:pt idx="270">
                  <c:v>247.7133765223322</c:v>
                </c:pt>
                <c:pt idx="271">
                  <c:v>250.37270937467818</c:v>
                </c:pt>
                <c:pt idx="272">
                  <c:v>253.22113279086184</c:v>
                </c:pt>
                <c:pt idx="273">
                  <c:v>259.33698111358939</c:v>
                </c:pt>
                <c:pt idx="274">
                  <c:v>257.66726370666834</c:v>
                </c:pt>
                <c:pt idx="275">
                  <c:v>261.26290066810509</c:v>
                </c:pt>
                <c:pt idx="276">
                  <c:v>260.75547586499317</c:v>
                </c:pt>
                <c:pt idx="277">
                  <c:v>262.87844396759465</c:v>
                </c:pt>
                <c:pt idx="278">
                  <c:v>261.36542055981306</c:v>
                </c:pt>
                <c:pt idx="279">
                  <c:v>265.80428166355387</c:v>
                </c:pt>
                <c:pt idx="280">
                  <c:v>260.55237102657634</c:v>
                </c:pt>
                <c:pt idx="281">
                  <c:v>259.46037841513663</c:v>
                </c:pt>
                <c:pt idx="282">
                  <c:v>253.90484344618437</c:v>
                </c:pt>
                <c:pt idx="283">
                  <c:v>253.89949220101559</c:v>
                </c:pt>
                <c:pt idx="284">
                  <c:v>250.68208730717532</c:v>
                </c:pt>
                <c:pt idx="285">
                  <c:v>250.74899700401201</c:v>
                </c:pt>
                <c:pt idx="286">
                  <c:v>249.31446023869387</c:v>
                </c:pt>
                <c:pt idx="287">
                  <c:v>250.68596158615114</c:v>
                </c:pt>
                <c:pt idx="288">
                  <c:v>245.74890403190233</c:v>
                </c:pt>
                <c:pt idx="289">
                  <c:v>247.63043719546158</c:v>
                </c:pt>
                <c:pt idx="290">
                  <c:v>247.74900900396401</c:v>
                </c:pt>
                <c:pt idx="291">
                  <c:v>249.13579925944222</c:v>
                </c:pt>
                <c:pt idx="292">
                  <c:v>246.97173351254909</c:v>
                </c:pt>
                <c:pt idx="293">
                  <c:v>246.70246702467023</c:v>
                </c:pt>
                <c:pt idx="294">
                  <c:v>246.40295683548203</c:v>
                </c:pt>
                <c:pt idx="295">
                  <c:v>244.96445290272126</c:v>
                </c:pt>
                <c:pt idx="296">
                  <c:v>244.05903018411681</c:v>
                </c:pt>
                <c:pt idx="297">
                  <c:v>243.15899688288465</c:v>
                </c:pt>
                <c:pt idx="298">
                  <c:v>246.91148180883781</c:v>
                </c:pt>
                <c:pt idx="299">
                  <c:v>243.38553428800603</c:v>
                </c:pt>
                <c:pt idx="300">
                  <c:v>241.46883456909637</c:v>
                </c:pt>
                <c:pt idx="301">
                  <c:v>235.65702900101823</c:v>
                </c:pt>
                <c:pt idx="302">
                  <c:v>237.57980571651413</c:v>
                </c:pt>
                <c:pt idx="303">
                  <c:v>238.54045838166473</c:v>
                </c:pt>
                <c:pt idx="304">
                  <c:v>241.5690791578678</c:v>
                </c:pt>
                <c:pt idx="305">
                  <c:v>236.94620450987941</c:v>
                </c:pt>
                <c:pt idx="306">
                  <c:v>241.00782363086461</c:v>
                </c:pt>
                <c:pt idx="307">
                  <c:v>245.10833158363079</c:v>
                </c:pt>
                <c:pt idx="308">
                  <c:v>244.35806381610593</c:v>
                </c:pt>
                <c:pt idx="309">
                  <c:v>241.18159478891735</c:v>
                </c:pt>
                <c:pt idx="310">
                  <c:v>238.92221976643827</c:v>
                </c:pt>
                <c:pt idx="311">
                  <c:v>238.75143250859503</c:v>
                </c:pt>
                <c:pt idx="312">
                  <c:v>236.8194191923738</c:v>
                </c:pt>
                <c:pt idx="313">
                  <c:v>236.89905240379042</c:v>
                </c:pt>
                <c:pt idx="314">
                  <c:v>238.18689972051538</c:v>
                </c:pt>
                <c:pt idx="315">
                  <c:v>237.7049918048279</c:v>
                </c:pt>
                <c:pt idx="316">
                  <c:v>238.09595236880975</c:v>
                </c:pt>
                <c:pt idx="317">
                  <c:v>239.83249222806734</c:v>
                </c:pt>
                <c:pt idx="318">
                  <c:v>238.51335674797787</c:v>
                </c:pt>
                <c:pt idx="319">
                  <c:v>235.13362410824749</c:v>
                </c:pt>
                <c:pt idx="320">
                  <c:v>235.34741117847705</c:v>
                </c:pt>
                <c:pt idx="321">
                  <c:v>234.21147636234173</c:v>
                </c:pt>
                <c:pt idx="322">
                  <c:v>235.78396669026509</c:v>
                </c:pt>
                <c:pt idx="323">
                  <c:v>237.97786805827062</c:v>
                </c:pt>
                <c:pt idx="324">
                  <c:v>239.2373204220176</c:v>
                </c:pt>
                <c:pt idx="325">
                  <c:v>243.2093840328665</c:v>
                </c:pt>
                <c:pt idx="326">
                  <c:v>242.40848429695041</c:v>
                </c:pt>
                <c:pt idx="327">
                  <c:v>240.7663721133037</c:v>
                </c:pt>
                <c:pt idx="328">
                  <c:v>239.95791861131414</c:v>
                </c:pt>
                <c:pt idx="329">
                  <c:v>241.88040768697735</c:v>
                </c:pt>
                <c:pt idx="330">
                  <c:v>238.48410322676142</c:v>
                </c:pt>
                <c:pt idx="331">
                  <c:v>238.05404691879764</c:v>
                </c:pt>
                <c:pt idx="332">
                  <c:v>237.90142740856444</c:v>
                </c:pt>
                <c:pt idx="333">
                  <c:v>238.14738037881585</c:v>
                </c:pt>
                <c:pt idx="334">
                  <c:v>234.63496060913076</c:v>
                </c:pt>
                <c:pt idx="335">
                  <c:v>230.78784920727</c:v>
                </c:pt>
                <c:pt idx="336">
                  <c:v>236.5894331051251</c:v>
                </c:pt>
                <c:pt idx="337">
                  <c:v>234.07574833231658</c:v>
                </c:pt>
                <c:pt idx="338">
                  <c:v>235.13894846942196</c:v>
                </c:pt>
                <c:pt idx="339">
                  <c:v>219.15055643226896</c:v>
                </c:pt>
                <c:pt idx="340">
                  <c:v>207.70821598052584</c:v>
                </c:pt>
                <c:pt idx="341">
                  <c:v>215.56636025222213</c:v>
                </c:pt>
                <c:pt idx="342">
                  <c:v>216.44199164630905</c:v>
                </c:pt>
                <c:pt idx="343">
                  <c:v>213.57861953501771</c:v>
                </c:pt>
                <c:pt idx="344">
                  <c:v>213.40149381045669</c:v>
                </c:pt>
                <c:pt idx="345">
                  <c:v>210.57821748114247</c:v>
                </c:pt>
                <c:pt idx="346">
                  <c:v>212.57937980015939</c:v>
                </c:pt>
                <c:pt idx="347">
                  <c:v>213.04552604395309</c:v>
                </c:pt>
                <c:pt idx="348">
                  <c:v>211.91144321793377</c:v>
                </c:pt>
                <c:pt idx="349">
                  <c:v>207.74113274428336</c:v>
                </c:pt>
                <c:pt idx="350">
                  <c:v>204.82867601464207</c:v>
                </c:pt>
                <c:pt idx="351">
                  <c:v>203.85937753136645</c:v>
                </c:pt>
                <c:pt idx="352">
                  <c:v>206.67106605075287</c:v>
                </c:pt>
                <c:pt idx="353">
                  <c:v>207.44253206884554</c:v>
                </c:pt>
                <c:pt idx="354">
                  <c:v>203.04365438569292</c:v>
                </c:pt>
                <c:pt idx="355">
                  <c:v>201.81190690250727</c:v>
                </c:pt>
                <c:pt idx="356">
                  <c:v>198.63158242160503</c:v>
                </c:pt>
                <c:pt idx="357">
                  <c:v>197.56047070494736</c:v>
                </c:pt>
                <c:pt idx="358">
                  <c:v>197.55</c:v>
                </c:pt>
                <c:pt idx="359">
                  <c:v>195.32226673840819</c:v>
                </c:pt>
                <c:pt idx="360">
                  <c:v>193.86434596160115</c:v>
                </c:pt>
                <c:pt idx="361">
                  <c:v>187.56152017861859</c:v>
                </c:pt>
                <c:pt idx="362">
                  <c:v>188.04454670814548</c:v>
                </c:pt>
                <c:pt idx="363">
                  <c:v>181.81090665372901</c:v>
                </c:pt>
                <c:pt idx="364">
                  <c:v>177.24431107776942</c:v>
                </c:pt>
                <c:pt idx="365">
                  <c:v>175.66528287961052</c:v>
                </c:pt>
                <c:pt idx="366">
                  <c:v>155.97625316607767</c:v>
                </c:pt>
                <c:pt idx="367">
                  <c:v>162.18285629749286</c:v>
                </c:pt>
                <c:pt idx="368">
                  <c:v>147.38618483478734</c:v>
                </c:pt>
                <c:pt idx="369">
                  <c:v>149.130762131685</c:v>
                </c:pt>
                <c:pt idx="370">
                  <c:v>150.68432882980167</c:v>
                </c:pt>
                <c:pt idx="371">
                  <c:v>161.73031956352298</c:v>
                </c:pt>
                <c:pt idx="372">
                  <c:v>175.35217811385004</c:v>
                </c:pt>
                <c:pt idx="373">
                  <c:v>154.48661983676283</c:v>
                </c:pt>
                <c:pt idx="374">
                  <c:v>149.74462389792157</c:v>
                </c:pt>
                <c:pt idx="375">
                  <c:v>147.37313758260046</c:v>
                </c:pt>
                <c:pt idx="376">
                  <c:v>156.30402932599387</c:v>
                </c:pt>
                <c:pt idx="377">
                  <c:v>163.12903886809238</c:v>
                </c:pt>
                <c:pt idx="378">
                  <c:v>159.23901355832177</c:v>
                </c:pt>
                <c:pt idx="379">
                  <c:v>171.56532122284005</c:v>
                </c:pt>
                <c:pt idx="380">
                  <c:v>166.45143349294932</c:v>
                </c:pt>
                <c:pt idx="381">
                  <c:v>177.77715598521422</c:v>
                </c:pt>
                <c:pt idx="382">
                  <c:v>181.51278987807501</c:v>
                </c:pt>
                <c:pt idx="383">
                  <c:v>178.67858857417187</c:v>
                </c:pt>
                <c:pt idx="384">
                  <c:v>185.18166796452107</c:v>
                </c:pt>
                <c:pt idx="385">
                  <c:v>181.63578224910307</c:v>
                </c:pt>
                <c:pt idx="386">
                  <c:v>189.26918205926069</c:v>
                </c:pt>
                <c:pt idx="387">
                  <c:v>186.37944795277653</c:v>
                </c:pt>
                <c:pt idx="388">
                  <c:v>188.08232026189538</c:v>
                </c:pt>
                <c:pt idx="389">
                  <c:v>180.77104301990681</c:v>
                </c:pt>
                <c:pt idx="390">
                  <c:v>179.61095626833236</c:v>
                </c:pt>
                <c:pt idx="391">
                  <c:v>182.22303099141325</c:v>
                </c:pt>
                <c:pt idx="392">
                  <c:v>180.5667927117222</c:v>
                </c:pt>
                <c:pt idx="393">
                  <c:v>180.05504154116318</c:v>
                </c:pt>
                <c:pt idx="394">
                  <c:v>179.85197837176207</c:v>
                </c:pt>
                <c:pt idx="395">
                  <c:v>179.4539479868557</c:v>
                </c:pt>
                <c:pt idx="396">
                  <c:v>182.12268159776033</c:v>
                </c:pt>
                <c:pt idx="397">
                  <c:v>182.0509102545513</c:v>
                </c:pt>
                <c:pt idx="398">
                  <c:v>174.12644150782194</c:v>
                </c:pt>
                <c:pt idx="399">
                  <c:v>173.90156511408603</c:v>
                </c:pt>
                <c:pt idx="400">
                  <c:v>163.99429672061436</c:v>
                </c:pt>
                <c:pt idx="401">
                  <c:v>161.02850204486194</c:v>
                </c:pt>
                <c:pt idx="402">
                  <c:v>158.27706537817969</c:v>
                </c:pt>
                <c:pt idx="403">
                  <c:v>158.44794017677768</c:v>
                </c:pt>
                <c:pt idx="404">
                  <c:v>164.98120283841641</c:v>
                </c:pt>
                <c:pt idx="405">
                  <c:v>165.39652667293987</c:v>
                </c:pt>
                <c:pt idx="406">
                  <c:v>163.81589014134371</c:v>
                </c:pt>
                <c:pt idx="407">
                  <c:v>164.64143864519048</c:v>
                </c:pt>
                <c:pt idx="408">
                  <c:v>164.74901150593098</c:v>
                </c:pt>
                <c:pt idx="409">
                  <c:v>170.68786961545996</c:v>
                </c:pt>
                <c:pt idx="410">
                  <c:v>175.69852033354226</c:v>
                </c:pt>
                <c:pt idx="411">
                  <c:v>188.80820503801644</c:v>
                </c:pt>
                <c:pt idx="412">
                  <c:v>186.37571984933919</c:v>
                </c:pt>
                <c:pt idx="413">
                  <c:v>191.64499788560684</c:v>
                </c:pt>
                <c:pt idx="414">
                  <c:v>192.14558065164499</c:v>
                </c:pt>
                <c:pt idx="415">
                  <c:v>190.66487186000509</c:v>
                </c:pt>
                <c:pt idx="416">
                  <c:v>197.28075445518621</c:v>
                </c:pt>
                <c:pt idx="417">
                  <c:v>200.5175161623817</c:v>
                </c:pt>
                <c:pt idx="418">
                  <c:v>197.28255162101746</c:v>
                </c:pt>
                <c:pt idx="419">
                  <c:v>196.70550775421711</c:v>
                </c:pt>
                <c:pt idx="420">
                  <c:v>200.11497987852127</c:v>
                </c:pt>
                <c:pt idx="421">
                  <c:v>200.00140000980005</c:v>
                </c:pt>
                <c:pt idx="422">
                  <c:v>197.67332545240339</c:v>
                </c:pt>
                <c:pt idx="423">
                  <c:v>198.49146486701071</c:v>
                </c:pt>
                <c:pt idx="424">
                  <c:v>199.04442675605085</c:v>
                </c:pt>
                <c:pt idx="425">
                  <c:v>194.29682553495394</c:v>
                </c:pt>
                <c:pt idx="426">
                  <c:v>193.90349026282473</c:v>
                </c:pt>
                <c:pt idx="427">
                  <c:v>187.26479361859202</c:v>
                </c:pt>
                <c:pt idx="428">
                  <c:v>185.02183257624398</c:v>
                </c:pt>
                <c:pt idx="429">
                  <c:v>181.23715361649138</c:v>
                </c:pt>
                <c:pt idx="430">
                  <c:v>186.54440976588978</c:v>
                </c:pt>
                <c:pt idx="431">
                  <c:v>184.07521830490779</c:v>
                </c:pt>
                <c:pt idx="432">
                  <c:v>184.990380500214</c:v>
                </c:pt>
                <c:pt idx="433">
                  <c:v>185.84145129324051</c:v>
                </c:pt>
                <c:pt idx="434">
                  <c:v>191.78805245905571</c:v>
                </c:pt>
                <c:pt idx="435">
                  <c:v>201.99213619926957</c:v>
                </c:pt>
                <c:pt idx="436">
                  <c:v>195.26658590579387</c:v>
                </c:pt>
                <c:pt idx="437">
                  <c:v>197.22929092445293</c:v>
                </c:pt>
                <c:pt idx="438">
                  <c:v>194.67569719202936</c:v>
                </c:pt>
                <c:pt idx="439">
                  <c:v>202.81400686109092</c:v>
                </c:pt>
                <c:pt idx="440">
                  <c:v>205.82015607736875</c:v>
                </c:pt>
                <c:pt idx="441">
                  <c:v>207.53277477969328</c:v>
                </c:pt>
                <c:pt idx="442">
                  <c:v>199.87455320834673</c:v>
                </c:pt>
                <c:pt idx="443">
                  <c:v>194.30401651659162</c:v>
                </c:pt>
                <c:pt idx="444">
                  <c:v>196.27919440539304</c:v>
                </c:pt>
                <c:pt idx="445">
                  <c:v>195.45840471140258</c:v>
                </c:pt>
                <c:pt idx="446">
                  <c:v>194.36088420951572</c:v>
                </c:pt>
                <c:pt idx="447">
                  <c:v>197.5174096274115</c:v>
                </c:pt>
                <c:pt idx="448">
                  <c:v>195.91645698238653</c:v>
                </c:pt>
                <c:pt idx="449">
                  <c:v>198.67158996263532</c:v>
                </c:pt>
                <c:pt idx="450">
                  <c:v>193.89731094387031</c:v>
                </c:pt>
                <c:pt idx="451">
                  <c:v>194.0480595194048</c:v>
                </c:pt>
                <c:pt idx="452">
                  <c:v>192.7134899442961</c:v>
                </c:pt>
                <c:pt idx="453">
                  <c:v>192.2544218517026</c:v>
                </c:pt>
                <c:pt idx="454">
                  <c:v>196.50598265988421</c:v>
                </c:pt>
                <c:pt idx="455">
                  <c:v>200.65766123347973</c:v>
                </c:pt>
                <c:pt idx="456">
                  <c:v>199.61097860382321</c:v>
                </c:pt>
                <c:pt idx="457">
                  <c:v>196.4314290286446</c:v>
                </c:pt>
                <c:pt idx="458">
                  <c:v>195.40996590826134</c:v>
                </c:pt>
                <c:pt idx="459">
                  <c:v>196.68682198292711</c:v>
                </c:pt>
                <c:pt idx="460">
                  <c:v>193.38287508876508</c:v>
                </c:pt>
                <c:pt idx="461">
                  <c:v>194.14204017635279</c:v>
                </c:pt>
                <c:pt idx="462">
                  <c:v>192.61540923273861</c:v>
                </c:pt>
                <c:pt idx="463">
                  <c:v>193.63934983575905</c:v>
                </c:pt>
                <c:pt idx="464">
                  <c:v>192.80848357327724</c:v>
                </c:pt>
                <c:pt idx="465">
                  <c:v>195.32421720332914</c:v>
                </c:pt>
                <c:pt idx="466">
                  <c:v>196.04294245407169</c:v>
                </c:pt>
                <c:pt idx="467">
                  <c:v>198.82156851570224</c:v>
                </c:pt>
                <c:pt idx="468">
                  <c:v>203.00716548808202</c:v>
                </c:pt>
                <c:pt idx="469">
                  <c:v>204.18836126340798</c:v>
                </c:pt>
                <c:pt idx="470">
                  <c:v>201.47719942192194</c:v>
                </c:pt>
                <c:pt idx="471">
                  <c:v>196.4493087765029</c:v>
                </c:pt>
                <c:pt idx="472">
                  <c:v>198.72615286165663</c:v>
                </c:pt>
                <c:pt idx="473">
                  <c:v>198.55198551985521</c:v>
                </c:pt>
                <c:pt idx="474">
                  <c:v>198.45099225496128</c:v>
                </c:pt>
                <c:pt idx="475">
                  <c:v>195.826240716256</c:v>
                </c:pt>
                <c:pt idx="476">
                  <c:v>196.7899637118507</c:v>
                </c:pt>
                <c:pt idx="477">
                  <c:v>196.70098350491753</c:v>
                </c:pt>
                <c:pt idx="478">
                  <c:v>195.4128972512186</c:v>
                </c:pt>
                <c:pt idx="479">
                  <c:v>194.9544839531309</c:v>
                </c:pt>
                <c:pt idx="480">
                  <c:v>194.25699325175708</c:v>
                </c:pt>
                <c:pt idx="481">
                  <c:v>195.53689902776514</c:v>
                </c:pt>
                <c:pt idx="482">
                  <c:v>191.1435807364079</c:v>
                </c:pt>
                <c:pt idx="483">
                  <c:v>190.20893982017154</c:v>
                </c:pt>
                <c:pt idx="484">
                  <c:v>191.33851968881868</c:v>
                </c:pt>
                <c:pt idx="485">
                  <c:v>191.59750923237996</c:v>
                </c:pt>
                <c:pt idx="486">
                  <c:v>186.74780743870431</c:v>
                </c:pt>
                <c:pt idx="487">
                  <c:v>189.0756092464072</c:v>
                </c:pt>
                <c:pt idx="488">
                  <c:v>188.15940797039852</c:v>
                </c:pt>
                <c:pt idx="489">
                  <c:v>183.84246761001793</c:v>
                </c:pt>
                <c:pt idx="490">
                  <c:v>184.88890666560008</c:v>
                </c:pt>
                <c:pt idx="491">
                  <c:v>183.95938192847834</c:v>
                </c:pt>
                <c:pt idx="492">
                  <c:v>183.35605074967472</c:v>
                </c:pt>
                <c:pt idx="493">
                  <c:v>181.81545431361667</c:v>
                </c:pt>
                <c:pt idx="494">
                  <c:v>180.66138166704505</c:v>
                </c:pt>
                <c:pt idx="495">
                  <c:v>178.62018408080112</c:v>
                </c:pt>
                <c:pt idx="496">
                  <c:v>179.09498534041049</c:v>
                </c:pt>
                <c:pt idx="497">
                  <c:v>175.78287139695124</c:v>
                </c:pt>
                <c:pt idx="498">
                  <c:v>174.21533094912351</c:v>
                </c:pt>
                <c:pt idx="499">
                  <c:v>172.51690665685237</c:v>
                </c:pt>
                <c:pt idx="500">
                  <c:v>166.60747958045528</c:v>
                </c:pt>
                <c:pt idx="501">
                  <c:v>170.70698184057619</c:v>
                </c:pt>
                <c:pt idx="502">
                  <c:v>173.27418214686014</c:v>
                </c:pt>
                <c:pt idx="503">
                  <c:v>169.43812357780502</c:v>
                </c:pt>
                <c:pt idx="504">
                  <c:v>171.67665197533137</c:v>
                </c:pt>
                <c:pt idx="505">
                  <c:v>170.85854292714635</c:v>
                </c:pt>
                <c:pt idx="506">
                  <c:v>169.26591099563359</c:v>
                </c:pt>
                <c:pt idx="507">
                  <c:v>169.89354404532628</c:v>
                </c:pt>
                <c:pt idx="508">
                  <c:v>169.50406809763436</c:v>
                </c:pt>
                <c:pt idx="509">
                  <c:v>167.17323707995411</c:v>
                </c:pt>
                <c:pt idx="510">
                  <c:v>167.84295059607496</c:v>
                </c:pt>
                <c:pt idx="511">
                  <c:v>172.15541174835715</c:v>
                </c:pt>
                <c:pt idx="512">
                  <c:v>170.17025025978091</c:v>
                </c:pt>
                <c:pt idx="513">
                  <c:v>167.82315959602425</c:v>
                </c:pt>
                <c:pt idx="514">
                  <c:v>165.07707263991296</c:v>
                </c:pt>
                <c:pt idx="515">
                  <c:v>165.69353795201988</c:v>
                </c:pt>
                <c:pt idx="516">
                  <c:v>168.22409348960261</c:v>
                </c:pt>
                <c:pt idx="517">
                  <c:v>167.45803798582332</c:v>
                </c:pt>
                <c:pt idx="518">
                  <c:v>167.64798822414133</c:v>
                </c:pt>
                <c:pt idx="519">
                  <c:v>168.54089879146528</c:v>
                </c:pt>
                <c:pt idx="520">
                  <c:v>170.72763467985692</c:v>
                </c:pt>
                <c:pt idx="521">
                  <c:v>168.57174575520244</c:v>
                </c:pt>
                <c:pt idx="522">
                  <c:v>167.21337707016559</c:v>
                </c:pt>
                <c:pt idx="523">
                  <c:v>165.51688272203765</c:v>
                </c:pt>
                <c:pt idx="524">
                  <c:v>163.86638663866387</c:v>
                </c:pt>
                <c:pt idx="525">
                  <c:v>165.2359549438298</c:v>
                </c:pt>
                <c:pt idx="526">
                  <c:v>166.73482713073111</c:v>
                </c:pt>
                <c:pt idx="527">
                  <c:v>170.06581677082909</c:v>
                </c:pt>
                <c:pt idx="528">
                  <c:v>169.80305645501619</c:v>
                </c:pt>
                <c:pt idx="529">
                  <c:v>174.69898789553451</c:v>
                </c:pt>
                <c:pt idx="530">
                  <c:v>173.95800206809511</c:v>
                </c:pt>
                <c:pt idx="531">
                  <c:v>172.8114055527665</c:v>
                </c:pt>
                <c:pt idx="532">
                  <c:v>178.29276802146509</c:v>
                </c:pt>
                <c:pt idx="533">
                  <c:v>185.22776117314251</c:v>
                </c:pt>
                <c:pt idx="534">
                  <c:v>187.972556006823</c:v>
                </c:pt>
                <c:pt idx="535">
                  <c:v>187.10898123109911</c:v>
                </c:pt>
                <c:pt idx="536">
                  <c:v>188.58491320694341</c:v>
                </c:pt>
                <c:pt idx="537">
                  <c:v>187.36236591615045</c:v>
                </c:pt>
                <c:pt idx="538">
                  <c:v>184.08239850213639</c:v>
                </c:pt>
                <c:pt idx="539">
                  <c:v>187.86073710594488</c:v>
                </c:pt>
                <c:pt idx="540">
                  <c:v>191.66128442054702</c:v>
                </c:pt>
                <c:pt idx="541">
                  <c:v>190.85839776950186</c:v>
                </c:pt>
                <c:pt idx="542">
                  <c:v>195.50190653099338</c:v>
                </c:pt>
                <c:pt idx="543">
                  <c:v>193.8668664173783</c:v>
                </c:pt>
                <c:pt idx="544">
                  <c:v>194.7904552676919</c:v>
                </c:pt>
                <c:pt idx="545">
                  <c:v>193.66142602413544</c:v>
                </c:pt>
                <c:pt idx="546">
                  <c:v>194.3924186956709</c:v>
                </c:pt>
                <c:pt idx="547">
                  <c:v>195.93432525397967</c:v>
                </c:pt>
                <c:pt idx="548">
                  <c:v>196.19744943315735</c:v>
                </c:pt>
                <c:pt idx="549">
                  <c:v>198.17978566186247</c:v>
                </c:pt>
                <c:pt idx="550">
                  <c:v>203.09922519370156</c:v>
                </c:pt>
                <c:pt idx="551">
                  <c:v>202.45688353404014</c:v>
                </c:pt>
                <c:pt idx="552">
                  <c:v>205.37001597766726</c:v>
                </c:pt>
                <c:pt idx="553">
                  <c:v>212.62451829600488</c:v>
                </c:pt>
                <c:pt idx="554">
                  <c:v>216.26345147670042</c:v>
                </c:pt>
                <c:pt idx="555">
                  <c:v>215.90388626995286</c:v>
                </c:pt>
                <c:pt idx="556">
                  <c:v>213.57327948746416</c:v>
                </c:pt>
                <c:pt idx="557">
                  <c:v>213.99550609437202</c:v>
                </c:pt>
                <c:pt idx="558">
                  <c:v>213.05937461248297</c:v>
                </c:pt>
                <c:pt idx="559">
                  <c:v>214.48541499178057</c:v>
                </c:pt>
                <c:pt idx="560">
                  <c:v>203.05924587428035</c:v>
                </c:pt>
                <c:pt idx="561">
                  <c:v>203.39552529844346</c:v>
                </c:pt>
                <c:pt idx="562">
                  <c:v>207.70555101208342</c:v>
                </c:pt>
                <c:pt idx="563">
                  <c:v>208.59144775064223</c:v>
                </c:pt>
                <c:pt idx="564">
                  <c:v>209.49099188734886</c:v>
                </c:pt>
                <c:pt idx="565">
                  <c:v>211.52927013152714</c:v>
                </c:pt>
                <c:pt idx="566">
                  <c:v>211.15401192622662</c:v>
                </c:pt>
                <c:pt idx="567">
                  <c:v>209.02132017465783</c:v>
                </c:pt>
                <c:pt idx="568">
                  <c:v>213.80039830759264</c:v>
                </c:pt>
                <c:pt idx="569">
                  <c:v>213.40448149411139</c:v>
                </c:pt>
                <c:pt idx="570">
                  <c:v>211.46924370117679</c:v>
                </c:pt>
                <c:pt idx="571">
                  <c:v>205.45876120570483</c:v>
                </c:pt>
                <c:pt idx="572">
                  <c:v>202.82575887137668</c:v>
                </c:pt>
                <c:pt idx="573">
                  <c:v>201.51289682539681</c:v>
                </c:pt>
                <c:pt idx="574">
                  <c:v>202.48987550622468</c:v>
                </c:pt>
                <c:pt idx="575">
                  <c:v>206.40975009873074</c:v>
                </c:pt>
                <c:pt idx="576">
                  <c:v>211.20079021587972</c:v>
                </c:pt>
                <c:pt idx="577">
                  <c:v>214.12066546883077</c:v>
                </c:pt>
                <c:pt idx="578">
                  <c:v>217.81231846890489</c:v>
                </c:pt>
                <c:pt idx="579">
                  <c:v>219.73088341314306</c:v>
                </c:pt>
                <c:pt idx="580">
                  <c:v>218.85897321790191</c:v>
                </c:pt>
                <c:pt idx="581">
                  <c:v>217.66197140842746</c:v>
                </c:pt>
                <c:pt idx="582">
                  <c:v>213.73868670229311</c:v>
                </c:pt>
                <c:pt idx="583">
                  <c:v>210.72950213029824</c:v>
                </c:pt>
                <c:pt idx="584">
                  <c:v>207.8286803578894</c:v>
                </c:pt>
                <c:pt idx="585">
                  <c:v>210.62114490314826</c:v>
                </c:pt>
                <c:pt idx="586">
                  <c:v>206.63967481756495</c:v>
                </c:pt>
                <c:pt idx="587">
                  <c:v>203.28293183495725</c:v>
                </c:pt>
                <c:pt idx="588">
                  <c:v>215.81511555277947</c:v>
                </c:pt>
                <c:pt idx="589">
                  <c:v>218.17730955980574</c:v>
                </c:pt>
                <c:pt idx="590">
                  <c:v>216.76430644422533</c:v>
                </c:pt>
                <c:pt idx="591">
                  <c:v>229.81004568217952</c:v>
                </c:pt>
                <c:pt idx="592">
                  <c:v>234.30524769768974</c:v>
                </c:pt>
                <c:pt idx="593">
                  <c:v>233.11235495481259</c:v>
                </c:pt>
                <c:pt idx="594">
                  <c:v>229.04031109475267</c:v>
                </c:pt>
                <c:pt idx="595">
                  <c:v>227.56433655320288</c:v>
                </c:pt>
                <c:pt idx="596">
                  <c:v>226.46087012176585</c:v>
                </c:pt>
                <c:pt idx="597">
                  <c:v>217.53636193568846</c:v>
                </c:pt>
                <c:pt idx="598">
                  <c:v>218.58841481401484</c:v>
                </c:pt>
                <c:pt idx="599">
                  <c:v>218.2534920558729</c:v>
                </c:pt>
                <c:pt idx="600">
                  <c:v>217.7550083651924</c:v>
                </c:pt>
                <c:pt idx="601">
                  <c:v>218.8388392191998</c:v>
                </c:pt>
                <c:pt idx="602">
                  <c:v>215.97872517044766</c:v>
                </c:pt>
                <c:pt idx="603">
                  <c:v>207.13533975998112</c:v>
                </c:pt>
                <c:pt idx="604">
                  <c:v>208.48540602157848</c:v>
                </c:pt>
                <c:pt idx="605">
                  <c:v>208.84644961035664</c:v>
                </c:pt>
                <c:pt idx="606">
                  <c:v>209.14707194099284</c:v>
                </c:pt>
                <c:pt idx="607">
                  <c:v>203.90158710153668</c:v>
                </c:pt>
                <c:pt idx="608">
                  <c:v>206.86896965455179</c:v>
                </c:pt>
                <c:pt idx="609">
                  <c:v>209.86956891250767</c:v>
                </c:pt>
                <c:pt idx="610">
                  <c:v>209.94958010083977</c:v>
                </c:pt>
                <c:pt idx="611">
                  <c:v>209.70251643019716</c:v>
                </c:pt>
                <c:pt idx="612">
                  <c:v>208.56147088089847</c:v>
                </c:pt>
                <c:pt idx="613">
                  <c:v>208.00540814061165</c:v>
                </c:pt>
                <c:pt idx="614">
                  <c:v>207.80207802078021</c:v>
                </c:pt>
                <c:pt idx="615">
                  <c:v>206.51301031965014</c:v>
                </c:pt>
                <c:pt idx="616">
                  <c:v>205.21292841449011</c:v>
                </c:pt>
                <c:pt idx="617">
                  <c:v>205.44753462958445</c:v>
                </c:pt>
                <c:pt idx="618">
                  <c:v>207.82568439492582</c:v>
                </c:pt>
                <c:pt idx="619">
                  <c:v>210.57220446901007</c:v>
                </c:pt>
                <c:pt idx="620">
                  <c:v>217.57711166759137</c:v>
                </c:pt>
                <c:pt idx="621">
                  <c:v>222.89561347031326</c:v>
                </c:pt>
                <c:pt idx="622">
                  <c:v>225.96904224121295</c:v>
                </c:pt>
                <c:pt idx="623">
                  <c:v>222.23733587242654</c:v>
                </c:pt>
                <c:pt idx="624">
                  <c:v>216.01069900642079</c:v>
                </c:pt>
                <c:pt idx="625">
                  <c:v>211.64254015057026</c:v>
                </c:pt>
                <c:pt idx="626">
                  <c:v>210.90695992967767</c:v>
                </c:pt>
                <c:pt idx="627">
                  <c:v>214.51288927015628</c:v>
                </c:pt>
                <c:pt idx="628">
                  <c:v>218.45980339617512</c:v>
                </c:pt>
                <c:pt idx="629">
                  <c:v>220.03437755919333</c:v>
                </c:pt>
                <c:pt idx="630">
                  <c:v>212.62250427395745</c:v>
                </c:pt>
                <c:pt idx="631">
                  <c:v>212.64893675531621</c:v>
                </c:pt>
                <c:pt idx="632">
                  <c:v>213.78845542340716</c:v>
                </c:pt>
                <c:pt idx="633">
                  <c:v>213.25554464416075</c:v>
                </c:pt>
                <c:pt idx="634">
                  <c:v>213.10149171044196</c:v>
                </c:pt>
                <c:pt idx="635">
                  <c:v>205.37516731123591</c:v>
                </c:pt>
                <c:pt idx="636">
                  <c:v>208.66536154998266</c:v>
                </c:pt>
                <c:pt idx="637">
                  <c:v>206.71984510513008</c:v>
                </c:pt>
                <c:pt idx="638">
                  <c:v>207.93752374857507</c:v>
                </c:pt>
                <c:pt idx="639">
                  <c:v>205.6232354256031</c:v>
                </c:pt>
                <c:pt idx="640">
                  <c:v>203.57035703570358</c:v>
                </c:pt>
                <c:pt idx="641">
                  <c:v>205.87632422271437</c:v>
                </c:pt>
                <c:pt idx="642">
                  <c:v>205.35554459970419</c:v>
                </c:pt>
                <c:pt idx="643">
                  <c:v>205.30041060082121</c:v>
                </c:pt>
                <c:pt idx="644">
                  <c:v>205.39897300513496</c:v>
                </c:pt>
                <c:pt idx="645">
                  <c:v>205.49897250513746</c:v>
                </c:pt>
                <c:pt idx="646">
                  <c:v>204.31185008730509</c:v>
                </c:pt>
                <c:pt idx="647">
                  <c:v>202.61681719582725</c:v>
                </c:pt>
                <c:pt idx="648">
                  <c:v>200.96627826853975</c:v>
                </c:pt>
                <c:pt idx="649">
                  <c:v>199.61337409606443</c:v>
                </c:pt>
                <c:pt idx="650">
                  <c:v>201.38187563119322</c:v>
                </c:pt>
                <c:pt idx="651">
                  <c:v>202.73641666008376</c:v>
                </c:pt>
                <c:pt idx="652">
                  <c:v>205.32371856402381</c:v>
                </c:pt>
                <c:pt idx="653">
                  <c:v>205.54794452055478</c:v>
                </c:pt>
                <c:pt idx="654">
                  <c:v>204.01530114758609</c:v>
                </c:pt>
                <c:pt idx="655">
                  <c:v>203.25752052825953</c:v>
                </c:pt>
                <c:pt idx="656">
                  <c:v>212.15601488540577</c:v>
                </c:pt>
                <c:pt idx="657">
                  <c:v>212.59659845442471</c:v>
                </c:pt>
                <c:pt idx="658">
                  <c:v>210.07520902508301</c:v>
                </c:pt>
                <c:pt idx="659">
                  <c:v>207.77264721854684</c:v>
                </c:pt>
                <c:pt idx="660">
                  <c:v>207.00745226828167</c:v>
                </c:pt>
                <c:pt idx="661">
                  <c:v>209.02930609869622</c:v>
                </c:pt>
                <c:pt idx="662">
                  <c:v>211.47525739488481</c:v>
                </c:pt>
                <c:pt idx="663">
                  <c:v>210.90590536535024</c:v>
                </c:pt>
                <c:pt idx="664">
                  <c:v>210.60294844127816</c:v>
                </c:pt>
                <c:pt idx="665">
                  <c:v>211.14451024273367</c:v>
                </c:pt>
                <c:pt idx="666">
                  <c:v>212.88233076654637</c:v>
                </c:pt>
                <c:pt idx="667">
                  <c:v>216.56231815664077</c:v>
                </c:pt>
                <c:pt idx="668">
                  <c:v>215.26334632747231</c:v>
                </c:pt>
                <c:pt idx="669">
                  <c:v>209.06062758199877</c:v>
                </c:pt>
                <c:pt idx="670">
                  <c:v>209.04958190083619</c:v>
                </c:pt>
                <c:pt idx="671">
                  <c:v>208.75292254091556</c:v>
                </c:pt>
                <c:pt idx="672">
                  <c:v>211.42272646828556</c:v>
                </c:pt>
                <c:pt idx="673">
                  <c:v>213.62778271059807</c:v>
                </c:pt>
                <c:pt idx="674">
                  <c:v>212.51147561968347</c:v>
                </c:pt>
                <c:pt idx="675">
                  <c:v>209.33160907297002</c:v>
                </c:pt>
                <c:pt idx="676">
                  <c:v>207.91393023332566</c:v>
                </c:pt>
                <c:pt idx="677">
                  <c:v>207.30601187434436</c:v>
                </c:pt>
                <c:pt idx="678">
                  <c:v>207.05248462981558</c:v>
                </c:pt>
                <c:pt idx="679">
                  <c:v>207.84189416612753</c:v>
                </c:pt>
                <c:pt idx="680">
                  <c:v>205.67180121092838</c:v>
                </c:pt>
                <c:pt idx="681">
                  <c:v>204.56084172461141</c:v>
                </c:pt>
                <c:pt idx="682">
                  <c:v>204.45102225511127</c:v>
                </c:pt>
                <c:pt idx="683">
                  <c:v>205.09343701001566</c:v>
                </c:pt>
                <c:pt idx="684">
                  <c:v>203.961421839623</c:v>
                </c:pt>
                <c:pt idx="685">
                  <c:v>203.25691073496498</c:v>
                </c:pt>
                <c:pt idx="686">
                  <c:v>205.03175217405652</c:v>
                </c:pt>
                <c:pt idx="687">
                  <c:v>203.61445662642049</c:v>
                </c:pt>
                <c:pt idx="688">
                  <c:v>203.30304954574319</c:v>
                </c:pt>
                <c:pt idx="689">
                  <c:v>202.70608118243547</c:v>
                </c:pt>
                <c:pt idx="690">
                  <c:v>202.9969550456743</c:v>
                </c:pt>
                <c:pt idx="691">
                  <c:v>202.40607218216547</c:v>
                </c:pt>
                <c:pt idx="692">
                  <c:v>203.63737448278206</c:v>
                </c:pt>
                <c:pt idx="693">
                  <c:v>202.51134063507556</c:v>
                </c:pt>
                <c:pt idx="694">
                  <c:v>203.73736828316643</c:v>
                </c:pt>
                <c:pt idx="695">
                  <c:v>202.01737349412051</c:v>
                </c:pt>
                <c:pt idx="696">
                  <c:v>201.35644340618899</c:v>
                </c:pt>
                <c:pt idx="697">
                  <c:v>201.10241322895874</c:v>
                </c:pt>
                <c:pt idx="698">
                  <c:v>201.84253182632241</c:v>
                </c:pt>
                <c:pt idx="699">
                  <c:v>204.07734741443699</c:v>
                </c:pt>
                <c:pt idx="700">
                  <c:v>206.22834602366751</c:v>
                </c:pt>
                <c:pt idx="701">
                  <c:v>207.88336933045355</c:v>
                </c:pt>
                <c:pt idx="702">
                  <c:v>207.75145426017983</c:v>
                </c:pt>
                <c:pt idx="703">
                  <c:v>206.80951323760894</c:v>
                </c:pt>
                <c:pt idx="704">
                  <c:v>206.99793002069978</c:v>
                </c:pt>
                <c:pt idx="705">
                  <c:v>212.34457806512501</c:v>
                </c:pt>
                <c:pt idx="706">
                  <c:v>211.16245858505653</c:v>
                </c:pt>
                <c:pt idx="707">
                  <c:v>208.67462360558545</c:v>
                </c:pt>
                <c:pt idx="708">
                  <c:v>209.09539990120217</c:v>
                </c:pt>
                <c:pt idx="709">
                  <c:v>206.08008769280315</c:v>
                </c:pt>
                <c:pt idx="710">
                  <c:v>204.96086292573506</c:v>
                </c:pt>
                <c:pt idx="711">
                  <c:v>207.27616324122727</c:v>
                </c:pt>
                <c:pt idx="712">
                  <c:v>209.87376577927762</c:v>
                </c:pt>
                <c:pt idx="713">
                  <c:v>208.61293400190812</c:v>
                </c:pt>
                <c:pt idx="714">
                  <c:v>215.18135714707009</c:v>
                </c:pt>
                <c:pt idx="715">
                  <c:v>214.25985595337386</c:v>
                </c:pt>
                <c:pt idx="716">
                  <c:v>213.8044898942878</c:v>
                </c:pt>
                <c:pt idx="717">
                  <c:v>209.88882943344518</c:v>
                </c:pt>
                <c:pt idx="718">
                  <c:v>208.6618937279425</c:v>
                </c:pt>
                <c:pt idx="719">
                  <c:v>208.89749323008127</c:v>
                </c:pt>
                <c:pt idx="720">
                  <c:v>211.42420624683788</c:v>
                </c:pt>
                <c:pt idx="721">
                  <c:v>210.90548354257211</c:v>
                </c:pt>
                <c:pt idx="722">
                  <c:v>209.21694657267238</c:v>
                </c:pt>
                <c:pt idx="723">
                  <c:v>208.95250743008916</c:v>
                </c:pt>
                <c:pt idx="724">
                  <c:v>208.90041780083558</c:v>
                </c:pt>
                <c:pt idx="725">
                  <c:v>206.3255843724622</c:v>
                </c:pt>
                <c:pt idx="726">
                  <c:v>205.75555539999581</c:v>
                </c:pt>
                <c:pt idx="727">
                  <c:v>206.39339541134683</c:v>
                </c:pt>
                <c:pt idx="728">
                  <c:v>204.61780174875213</c:v>
                </c:pt>
                <c:pt idx="729">
                  <c:v>205.88682324331242</c:v>
                </c:pt>
                <c:pt idx="730">
                  <c:v>207.97878616381129</c:v>
                </c:pt>
                <c:pt idx="731">
                  <c:v>211.26640864102609</c:v>
                </c:pt>
                <c:pt idx="732">
                  <c:v>209.51780901376617</c:v>
                </c:pt>
                <c:pt idx="733">
                  <c:v>209.74748303020365</c:v>
                </c:pt>
                <c:pt idx="734">
                  <c:v>210.5913657540041</c:v>
                </c:pt>
                <c:pt idx="735">
                  <c:v>209.31297740459911</c:v>
                </c:pt>
                <c:pt idx="736">
                  <c:v>211.72522814830666</c:v>
                </c:pt>
                <c:pt idx="737">
                  <c:v>211.25507012168293</c:v>
                </c:pt>
                <c:pt idx="738">
                  <c:v>212.6359660262423</c:v>
                </c:pt>
                <c:pt idx="739">
                  <c:v>214.13479642945353</c:v>
                </c:pt>
                <c:pt idx="740">
                  <c:v>216.08033668936125</c:v>
                </c:pt>
                <c:pt idx="741">
                  <c:v>216.00108000540004</c:v>
                </c:pt>
                <c:pt idx="742">
                  <c:v>230.59250531886721</c:v>
                </c:pt>
                <c:pt idx="743">
                  <c:v>231.14607051680125</c:v>
                </c:pt>
                <c:pt idx="744">
                  <c:v>233.72382293183165</c:v>
                </c:pt>
                <c:pt idx="745">
                  <c:v>241.4198486102614</c:v>
                </c:pt>
                <c:pt idx="746">
                  <c:v>243.47979117733226</c:v>
                </c:pt>
                <c:pt idx="747">
                  <c:v>242.50994290765919</c:v>
                </c:pt>
                <c:pt idx="748">
                  <c:v>238.4898278012428</c:v>
                </c:pt>
                <c:pt idx="749">
                  <c:v>238.69761302386974</c:v>
                </c:pt>
                <c:pt idx="750">
                  <c:v>237.75951038041524</c:v>
                </c:pt>
                <c:pt idx="751">
                  <c:v>238.09642855357166</c:v>
                </c:pt>
                <c:pt idx="752">
                  <c:v>236.16936588800283</c:v>
                </c:pt>
                <c:pt idx="753">
                  <c:v>235.35800217207384</c:v>
                </c:pt>
                <c:pt idx="754">
                  <c:v>236.58746086457415</c:v>
                </c:pt>
                <c:pt idx="755">
                  <c:v>234.71877750220017</c:v>
                </c:pt>
                <c:pt idx="756">
                  <c:v>231.28399874781593</c:v>
                </c:pt>
                <c:pt idx="757">
                  <c:v>232.93276297553982</c:v>
                </c:pt>
                <c:pt idx="758">
                  <c:v>231.71251247567366</c:v>
                </c:pt>
                <c:pt idx="759">
                  <c:v>237.98479216694625</c:v>
                </c:pt>
                <c:pt idx="760">
                  <c:v>241.26694642833931</c:v>
                </c:pt>
                <c:pt idx="761">
                  <c:v>249.11853823799618</c:v>
                </c:pt>
                <c:pt idx="762">
                  <c:v>256.4743400696795</c:v>
                </c:pt>
                <c:pt idx="763">
                  <c:v>262.48857767282453</c:v>
                </c:pt>
                <c:pt idx="764">
                  <c:v>246.10553870045868</c:v>
                </c:pt>
                <c:pt idx="765">
                  <c:v>246.59358856669724</c:v>
                </c:pt>
                <c:pt idx="766">
                  <c:v>244.71884335093802</c:v>
                </c:pt>
                <c:pt idx="767">
                  <c:v>236.67834053071564</c:v>
                </c:pt>
                <c:pt idx="768">
                  <c:v>233.43151325428934</c:v>
                </c:pt>
                <c:pt idx="769">
                  <c:v>236.66663000516928</c:v>
                </c:pt>
                <c:pt idx="770">
                  <c:v>238.43235600565561</c:v>
                </c:pt>
                <c:pt idx="771">
                  <c:v>225.22612663091331</c:v>
                </c:pt>
                <c:pt idx="772">
                  <c:v>223.21875037503148</c:v>
                </c:pt>
                <c:pt idx="773">
                  <c:v>226.81280270035711</c:v>
                </c:pt>
                <c:pt idx="774">
                  <c:v>225.61240868247754</c:v>
                </c:pt>
                <c:pt idx="775">
                  <c:v>222.48114736063047</c:v>
                </c:pt>
                <c:pt idx="776">
                  <c:v>226.5083224686658</c:v>
                </c:pt>
                <c:pt idx="777">
                  <c:v>229.76714329850833</c:v>
                </c:pt>
                <c:pt idx="778">
                  <c:v>228.76052298405727</c:v>
                </c:pt>
                <c:pt idx="779">
                  <c:v>230.82876375373465</c:v>
                </c:pt>
                <c:pt idx="780">
                  <c:v>230.00851031488165</c:v>
                </c:pt>
                <c:pt idx="781">
                  <c:v>232.87065829705455</c:v>
                </c:pt>
                <c:pt idx="782">
                  <c:v>238.04691553783505</c:v>
                </c:pt>
                <c:pt idx="783">
                  <c:v>235.47613785130147</c:v>
                </c:pt>
                <c:pt idx="784">
                  <c:v>239.45881308414951</c:v>
                </c:pt>
                <c:pt idx="785">
                  <c:v>237.51995167594077</c:v>
                </c:pt>
                <c:pt idx="786">
                  <c:v>230.96420804983785</c:v>
                </c:pt>
                <c:pt idx="787">
                  <c:v>231.59305220843376</c:v>
                </c:pt>
                <c:pt idx="788">
                  <c:v>227.73826002768462</c:v>
                </c:pt>
                <c:pt idx="789">
                  <c:v>231.26346037326101</c:v>
                </c:pt>
                <c:pt idx="790">
                  <c:v>224.07080637481442</c:v>
                </c:pt>
                <c:pt idx="791">
                  <c:v>221.52481077880722</c:v>
                </c:pt>
                <c:pt idx="792">
                  <c:v>221.15353845661531</c:v>
                </c:pt>
                <c:pt idx="793">
                  <c:v>221.89245565650768</c:v>
                </c:pt>
                <c:pt idx="794">
                  <c:v>225.41393377059671</c:v>
                </c:pt>
                <c:pt idx="795">
                  <c:v>221.68746518161569</c:v>
                </c:pt>
                <c:pt idx="796">
                  <c:v>217.93683132449385</c:v>
                </c:pt>
                <c:pt idx="797">
                  <c:v>220.62220160259807</c:v>
                </c:pt>
                <c:pt idx="798">
                  <c:v>224.90614330205611</c:v>
                </c:pt>
                <c:pt idx="799">
                  <c:v>235.29058987570781</c:v>
                </c:pt>
                <c:pt idx="800">
                  <c:v>236.09291721248363</c:v>
                </c:pt>
                <c:pt idx="801">
                  <c:v>234.61501536098308</c:v>
                </c:pt>
                <c:pt idx="802">
                  <c:v>228.65853658536585</c:v>
                </c:pt>
                <c:pt idx="803">
                  <c:v>224.09459482437006</c:v>
                </c:pt>
                <c:pt idx="804">
                  <c:v>222.91136847979249</c:v>
                </c:pt>
                <c:pt idx="805">
                  <c:v>217.99839564383291</c:v>
                </c:pt>
                <c:pt idx="806">
                  <c:v>212.45417581483278</c:v>
                </c:pt>
                <c:pt idx="807">
                  <c:v>212.49893750531245</c:v>
                </c:pt>
                <c:pt idx="808">
                  <c:v>212.00508812211493</c:v>
                </c:pt>
                <c:pt idx="809">
                  <c:v>217.24568857785553</c:v>
                </c:pt>
                <c:pt idx="810">
                  <c:v>217.99302422322484</c:v>
                </c:pt>
                <c:pt idx="811">
                  <c:v>217.5545686459416</c:v>
                </c:pt>
                <c:pt idx="812">
                  <c:v>220.02469715982662</c:v>
                </c:pt>
                <c:pt idx="813">
                  <c:v>216.78251737760664</c:v>
                </c:pt>
                <c:pt idx="814">
                  <c:v>216.00756026460925</c:v>
                </c:pt>
                <c:pt idx="815">
                  <c:v>218.02928721771434</c:v>
                </c:pt>
                <c:pt idx="816">
                  <c:v>219.08948370478217</c:v>
                </c:pt>
                <c:pt idx="817">
                  <c:v>220.23854759552503</c:v>
                </c:pt>
                <c:pt idx="818">
                  <c:v>220.54691234322721</c:v>
                </c:pt>
                <c:pt idx="819">
                  <c:v>218.71837234327683</c:v>
                </c:pt>
                <c:pt idx="820">
                  <c:v>218.403057642807</c:v>
                </c:pt>
                <c:pt idx="821">
                  <c:v>223.24999200179161</c:v>
                </c:pt>
                <c:pt idx="822">
                  <c:v>221.96331779906791</c:v>
                </c:pt>
                <c:pt idx="823">
                  <c:v>222.74198128867363</c:v>
                </c:pt>
                <c:pt idx="824">
                  <c:v>223.93790735300291</c:v>
                </c:pt>
                <c:pt idx="825">
                  <c:v>222.61335680140806</c:v>
                </c:pt>
                <c:pt idx="826">
                  <c:v>224.57978781909628</c:v>
                </c:pt>
                <c:pt idx="827">
                  <c:v>220.78775470605476</c:v>
                </c:pt>
                <c:pt idx="828">
                  <c:v>220.35396637139468</c:v>
                </c:pt>
                <c:pt idx="829">
                  <c:v>218.76596991580385</c:v>
                </c:pt>
                <c:pt idx="830">
                  <c:v>217.06693122063521</c:v>
                </c:pt>
                <c:pt idx="831">
                  <c:v>211.85126800685765</c:v>
                </c:pt>
                <c:pt idx="832">
                  <c:v>214.27471558356115</c:v>
                </c:pt>
                <c:pt idx="833">
                  <c:v>214.59699564206102</c:v>
                </c:pt>
                <c:pt idx="834">
                  <c:v>217.56954026436298</c:v>
                </c:pt>
                <c:pt idx="835">
                  <c:v>220.17379931788116</c:v>
                </c:pt>
                <c:pt idx="836">
                  <c:v>227.67190853537238</c:v>
                </c:pt>
                <c:pt idx="837">
                  <c:v>232.10520369568673</c:v>
                </c:pt>
                <c:pt idx="838">
                  <c:v>234.42679174761696</c:v>
                </c:pt>
                <c:pt idx="839">
                  <c:v>234.30140580843485</c:v>
                </c:pt>
                <c:pt idx="840">
                  <c:v>230.24029205110895</c:v>
                </c:pt>
                <c:pt idx="841">
                  <c:v>231.23936298930249</c:v>
                </c:pt>
                <c:pt idx="842">
                  <c:v>230.16104773029107</c:v>
                </c:pt>
                <c:pt idx="843">
                  <c:v>232.22886717308722</c:v>
                </c:pt>
                <c:pt idx="844">
                  <c:v>232.44790796882828</c:v>
                </c:pt>
                <c:pt idx="845">
                  <c:v>219.57274116230971</c:v>
                </c:pt>
                <c:pt idx="846">
                  <c:v>222.96387985146407</c:v>
                </c:pt>
                <c:pt idx="847">
                  <c:v>222.75245027695306</c:v>
                </c:pt>
                <c:pt idx="848">
                  <c:v>222.65089060356243</c:v>
                </c:pt>
                <c:pt idx="849">
                  <c:v>221.90754485652513</c:v>
                </c:pt>
                <c:pt idx="850">
                  <c:v>218.03837475395667</c:v>
                </c:pt>
                <c:pt idx="851">
                  <c:v>214.88094285577122</c:v>
                </c:pt>
                <c:pt idx="852">
                  <c:v>215.9389871116573</c:v>
                </c:pt>
                <c:pt idx="853">
                  <c:v>208.57195732527722</c:v>
                </c:pt>
                <c:pt idx="854">
                  <c:v>213.89417362068497</c:v>
                </c:pt>
                <c:pt idx="855">
                  <c:v>215.8307910595957</c:v>
                </c:pt>
                <c:pt idx="856">
                  <c:v>215.30538263456589</c:v>
                </c:pt>
                <c:pt idx="857">
                  <c:v>219.35832191883546</c:v>
                </c:pt>
                <c:pt idx="858">
                  <c:v>225.4373284226985</c:v>
                </c:pt>
                <c:pt idx="859">
                  <c:v>224.9553989295743</c:v>
                </c:pt>
                <c:pt idx="860">
                  <c:v>226.88026141725672</c:v>
                </c:pt>
                <c:pt idx="861">
                  <c:v>229.22616047931012</c:v>
                </c:pt>
                <c:pt idx="862">
                  <c:v>231.97216334039916</c:v>
                </c:pt>
                <c:pt idx="863">
                  <c:v>236.30557455198419</c:v>
                </c:pt>
                <c:pt idx="864">
                  <c:v>238.97323499768029</c:v>
                </c:pt>
                <c:pt idx="865">
                  <c:v>237.86141734803272</c:v>
                </c:pt>
                <c:pt idx="866">
                  <c:v>242.5514897020596</c:v>
                </c:pt>
                <c:pt idx="867">
                  <c:v>244.87673671001255</c:v>
                </c:pt>
                <c:pt idx="868">
                  <c:v>244.503912062593</c:v>
                </c:pt>
                <c:pt idx="869">
                  <c:v>249.69631529221215</c:v>
                </c:pt>
                <c:pt idx="870">
                  <c:v>251.97732204101632</c:v>
                </c:pt>
                <c:pt idx="871">
                  <c:v>254.82120520381196</c:v>
                </c:pt>
                <c:pt idx="872">
                  <c:v>253.36494853196339</c:v>
                </c:pt>
                <c:pt idx="873">
                  <c:v>257.01247617847798</c:v>
                </c:pt>
                <c:pt idx="874">
                  <c:v>254.62418929798329</c:v>
                </c:pt>
                <c:pt idx="875">
                  <c:v>249.25284160241969</c:v>
                </c:pt>
                <c:pt idx="876">
                  <c:v>250.63546314313774</c:v>
                </c:pt>
                <c:pt idx="877">
                  <c:v>253.27315304577718</c:v>
                </c:pt>
                <c:pt idx="878">
                  <c:v>255.42828859546941</c:v>
                </c:pt>
                <c:pt idx="879">
                  <c:v>259.40927274417913</c:v>
                </c:pt>
                <c:pt idx="880">
                  <c:v>259.59844240934558</c:v>
                </c:pt>
                <c:pt idx="881">
                  <c:v>256.67926143580365</c:v>
                </c:pt>
                <c:pt idx="882">
                  <c:v>266.06129126094226</c:v>
                </c:pt>
                <c:pt idx="883">
                  <c:v>267.48662566871656</c:v>
                </c:pt>
                <c:pt idx="884">
                  <c:v>263.22264206801503</c:v>
                </c:pt>
                <c:pt idx="885">
                  <c:v>269.48478468210692</c:v>
                </c:pt>
                <c:pt idx="886">
                  <c:v>268.46100690128293</c:v>
                </c:pt>
                <c:pt idx="887">
                  <c:v>261.61723562955677</c:v>
                </c:pt>
                <c:pt idx="888">
                  <c:v>259.56972729927475</c:v>
                </c:pt>
                <c:pt idx="889">
                  <c:v>260.39140708356621</c:v>
                </c:pt>
                <c:pt idx="890">
                  <c:v>261.09295049033676</c:v>
                </c:pt>
                <c:pt idx="891">
                  <c:v>255.3071888102935</c:v>
                </c:pt>
                <c:pt idx="892">
                  <c:v>258.91245769363439</c:v>
                </c:pt>
                <c:pt idx="893">
                  <c:v>257.51442080756522</c:v>
                </c:pt>
                <c:pt idx="894">
                  <c:v>261.06345111684368</c:v>
                </c:pt>
                <c:pt idx="895">
                  <c:v>259.56531435354685</c:v>
                </c:pt>
                <c:pt idx="896">
                  <c:v>263.11342723361452</c:v>
                </c:pt>
                <c:pt idx="897">
                  <c:v>259.78351207305741</c:v>
                </c:pt>
                <c:pt idx="898">
                  <c:v>262.02667962551334</c:v>
                </c:pt>
                <c:pt idx="899">
                  <c:v>266.60307785829696</c:v>
                </c:pt>
                <c:pt idx="900">
                  <c:v>261.39201701138524</c:v>
                </c:pt>
                <c:pt idx="901">
                  <c:v>259.76584571658873</c:v>
                </c:pt>
                <c:pt idx="902">
                  <c:v>254.14540369800619</c:v>
                </c:pt>
                <c:pt idx="903">
                  <c:v>251.37714873206306</c:v>
                </c:pt>
                <c:pt idx="904">
                  <c:v>258.52554464314278</c:v>
                </c:pt>
                <c:pt idx="905">
                  <c:v>254.14422109447042</c:v>
                </c:pt>
                <c:pt idx="906">
                  <c:v>264.5896661092325</c:v>
                </c:pt>
                <c:pt idx="907">
                  <c:v>266.7789244649673</c:v>
                </c:pt>
                <c:pt idx="908">
                  <c:v>273.88659839163103</c:v>
                </c:pt>
                <c:pt idx="909">
                  <c:v>278.24603712613407</c:v>
                </c:pt>
                <c:pt idx="910">
                  <c:v>272.87348320270769</c:v>
                </c:pt>
                <c:pt idx="911">
                  <c:v>269.2258070323353</c:v>
                </c:pt>
                <c:pt idx="912">
                  <c:v>271.01157121315748</c:v>
                </c:pt>
                <c:pt idx="913">
                  <c:v>265.12832823221106</c:v>
                </c:pt>
                <c:pt idx="914">
                  <c:v>267.52485266384957</c:v>
                </c:pt>
                <c:pt idx="915">
                  <c:v>267.40160440962643</c:v>
                </c:pt>
                <c:pt idx="916">
                  <c:v>268.97413052629895</c:v>
                </c:pt>
                <c:pt idx="917">
                  <c:v>270.16811260304547</c:v>
                </c:pt>
                <c:pt idx="918">
                  <c:v>271.8134193814177</c:v>
                </c:pt>
                <c:pt idx="919">
                  <c:v>271.03786009794283</c:v>
                </c:pt>
                <c:pt idx="920">
                  <c:v>273.09897137920376</c:v>
                </c:pt>
                <c:pt idx="921">
                  <c:v>272.22898355645737</c:v>
                </c:pt>
                <c:pt idx="922">
                  <c:v>266.31832371289312</c:v>
                </c:pt>
                <c:pt idx="923">
                  <c:v>269.1603923568407</c:v>
                </c:pt>
                <c:pt idx="924">
                  <c:v>268.5069811815107</c:v>
                </c:pt>
                <c:pt idx="925">
                  <c:v>263.08366906848994</c:v>
                </c:pt>
                <c:pt idx="926">
                  <c:v>263.82208533743989</c:v>
                </c:pt>
                <c:pt idx="927">
                  <c:v>261.81015938227245</c:v>
                </c:pt>
                <c:pt idx="928">
                  <c:v>259.12643089595144</c:v>
                </c:pt>
                <c:pt idx="929">
                  <c:v>261.66383361663833</c:v>
                </c:pt>
                <c:pt idx="930">
                  <c:v>262.47212583622496</c:v>
                </c:pt>
                <c:pt idx="931">
                  <c:v>268.19099798044425</c:v>
                </c:pt>
                <c:pt idx="932">
                  <c:v>263.72483322164771</c:v>
                </c:pt>
                <c:pt idx="933">
                  <c:v>263.86788905688752</c:v>
                </c:pt>
                <c:pt idx="934">
                  <c:v>264.21656518465261</c:v>
                </c:pt>
                <c:pt idx="935">
                  <c:v>268.25868816202308</c:v>
                </c:pt>
                <c:pt idx="936">
                  <c:v>270.16108872378936</c:v>
                </c:pt>
                <c:pt idx="937">
                  <c:v>272.34793981687483</c:v>
                </c:pt>
                <c:pt idx="938">
                  <c:v>271.83543670873416</c:v>
                </c:pt>
                <c:pt idx="939">
                  <c:v>282.49784835420343</c:v>
                </c:pt>
                <c:pt idx="940">
                  <c:v>290.03285126156442</c:v>
                </c:pt>
                <c:pt idx="941">
                  <c:v>285.18876727920474</c:v>
                </c:pt>
                <c:pt idx="942">
                  <c:v>287.50584950864123</c:v>
                </c:pt>
                <c:pt idx="943">
                  <c:v>290.13330773568833</c:v>
                </c:pt>
                <c:pt idx="944">
                  <c:v>291.24893254056343</c:v>
                </c:pt>
                <c:pt idx="945">
                  <c:v>293.17035758604175</c:v>
                </c:pt>
                <c:pt idx="946">
                  <c:v>290.93269275003456</c:v>
                </c:pt>
                <c:pt idx="947">
                  <c:v>292.23655711837256</c:v>
                </c:pt>
                <c:pt idx="948">
                  <c:v>289.10151206481504</c:v>
                </c:pt>
                <c:pt idx="949">
                  <c:v>291.72286977311114</c:v>
                </c:pt>
                <c:pt idx="950">
                  <c:v>293.47239165650063</c:v>
                </c:pt>
                <c:pt idx="951">
                  <c:v>292.80702736865686</c:v>
                </c:pt>
                <c:pt idx="952">
                  <c:v>296.33384727063299</c:v>
                </c:pt>
                <c:pt idx="953">
                  <c:v>297.70660320285589</c:v>
                </c:pt>
                <c:pt idx="954">
                  <c:v>298.70014289528444</c:v>
                </c:pt>
                <c:pt idx="955">
                  <c:v>299.25461341695848</c:v>
                </c:pt>
                <c:pt idx="956">
                  <c:v>300.58647360868758</c:v>
                </c:pt>
                <c:pt idx="957">
                  <c:v>302.27307270792835</c:v>
                </c:pt>
                <c:pt idx="958">
                  <c:v>301.59693672954478</c:v>
                </c:pt>
                <c:pt idx="959">
                  <c:v>301.19391552090178</c:v>
                </c:pt>
                <c:pt idx="960">
                  <c:v>305.57508046317196</c:v>
                </c:pt>
                <c:pt idx="961">
                  <c:v>308.02535797136227</c:v>
                </c:pt>
                <c:pt idx="962">
                  <c:v>306.2777641103184</c:v>
                </c:pt>
                <c:pt idx="963">
                  <c:v>307.59646575550681</c:v>
                </c:pt>
                <c:pt idx="964">
                  <c:v>308.9364067981009</c:v>
                </c:pt>
                <c:pt idx="965">
                  <c:v>311.20697068416939</c:v>
                </c:pt>
                <c:pt idx="966">
                  <c:v>309.31917778902294</c:v>
                </c:pt>
                <c:pt idx="967">
                  <c:v>304.42840411625451</c:v>
                </c:pt>
                <c:pt idx="968">
                  <c:v>306.63700222483317</c:v>
                </c:pt>
                <c:pt idx="969">
                  <c:v>308.62993905396149</c:v>
                </c:pt>
                <c:pt idx="970">
                  <c:v>310.6201203123</c:v>
                </c:pt>
                <c:pt idx="971">
                  <c:v>313.68894479446533</c:v>
                </c:pt>
                <c:pt idx="972">
                  <c:v>310.12597461305506</c:v>
                </c:pt>
                <c:pt idx="973">
                  <c:v>312.45594089255127</c:v>
                </c:pt>
                <c:pt idx="974">
                  <c:v>313.95493016335217</c:v>
                </c:pt>
                <c:pt idx="975">
                  <c:v>312.19779527433064</c:v>
                </c:pt>
                <c:pt idx="976">
                  <c:v>310.45738561359434</c:v>
                </c:pt>
                <c:pt idx="977">
                  <c:v>310.9744024607557</c:v>
                </c:pt>
                <c:pt idx="978">
                  <c:v>311.62345590742592</c:v>
                </c:pt>
                <c:pt idx="979">
                  <c:v>318.46929981544099</c:v>
                </c:pt>
                <c:pt idx="980">
                  <c:v>315.67872676413549</c:v>
                </c:pt>
                <c:pt idx="981">
                  <c:v>321.11380508411031</c:v>
                </c:pt>
                <c:pt idx="982">
                  <c:v>326.78248628241431</c:v>
                </c:pt>
                <c:pt idx="983">
                  <c:v>325.16690867925132</c:v>
                </c:pt>
                <c:pt idx="984">
                  <c:v>324.11037153188903</c:v>
                </c:pt>
                <c:pt idx="985">
                  <c:v>327.84164252782426</c:v>
                </c:pt>
                <c:pt idx="986">
                  <c:v>328.4740874664256</c:v>
                </c:pt>
                <c:pt idx="987">
                  <c:v>328.86605360735678</c:v>
                </c:pt>
                <c:pt idx="988">
                  <c:v>332.31477463388887</c:v>
                </c:pt>
                <c:pt idx="989">
                  <c:v>333.29066786129994</c:v>
                </c:pt>
                <c:pt idx="990">
                  <c:v>332.06228630459327</c:v>
                </c:pt>
                <c:pt idx="991">
                  <c:v>329.2976610035243</c:v>
                </c:pt>
                <c:pt idx="992">
                  <c:v>333.50664413626231</c:v>
                </c:pt>
                <c:pt idx="993">
                  <c:v>333.93599276808681</c:v>
                </c:pt>
                <c:pt idx="994">
                  <c:v>338.81019490134958</c:v>
                </c:pt>
                <c:pt idx="995">
                  <c:v>342.89885213774352</c:v>
                </c:pt>
                <c:pt idx="996">
                  <c:v>344.26657360362947</c:v>
                </c:pt>
                <c:pt idx="997">
                  <c:v>330.69161526287462</c:v>
                </c:pt>
                <c:pt idx="998">
                  <c:v>332.77737113876259</c:v>
                </c:pt>
                <c:pt idx="999">
                  <c:v>323.05562446484157</c:v>
                </c:pt>
                <c:pt idx="1000">
                  <c:v>330.92759902784206</c:v>
                </c:pt>
                <c:pt idx="1001">
                  <c:v>330.17858464320074</c:v>
                </c:pt>
                <c:pt idx="1002">
                  <c:v>322.48578415927744</c:v>
                </c:pt>
                <c:pt idx="1003">
                  <c:v>330.72401175694324</c:v>
                </c:pt>
                <c:pt idx="1004">
                  <c:v>334.55186108783596</c:v>
                </c:pt>
                <c:pt idx="1005">
                  <c:v>332.07523771806655</c:v>
                </c:pt>
                <c:pt idx="1006">
                  <c:v>325.90094347643009</c:v>
                </c:pt>
                <c:pt idx="1007">
                  <c:v>324.31524281641236</c:v>
                </c:pt>
                <c:pt idx="1008">
                  <c:v>328.04194713413244</c:v>
                </c:pt>
                <c:pt idx="1009">
                  <c:v>326.65437279240285</c:v>
                </c:pt>
                <c:pt idx="1010">
                  <c:v>330.03534628863969</c:v>
                </c:pt>
                <c:pt idx="1011">
                  <c:v>330.21834890825545</c:v>
                </c:pt>
                <c:pt idx="1012">
                  <c:v>338.13817056272381</c:v>
                </c:pt>
                <c:pt idx="1013">
                  <c:v>344.16873796464233</c:v>
                </c:pt>
                <c:pt idx="1014">
                  <c:v>347.52628994987487</c:v>
                </c:pt>
                <c:pt idx="1015">
                  <c:v>343.52019186244792</c:v>
                </c:pt>
                <c:pt idx="1016">
                  <c:v>345.54892151578753</c:v>
                </c:pt>
                <c:pt idx="1017">
                  <c:v>344.19376775071004</c:v>
                </c:pt>
                <c:pt idx="1018">
                  <c:v>343.68481158736222</c:v>
                </c:pt>
                <c:pt idx="1019">
                  <c:v>343.68</c:v>
                </c:pt>
                <c:pt idx="1020">
                  <c:v>346.54089056519251</c:v>
                </c:pt>
                <c:pt idx="1021">
                  <c:v>347.3520109037492</c:v>
                </c:pt>
                <c:pt idx="1022">
                  <c:v>352.42819305562085</c:v>
                </c:pt>
                <c:pt idx="1023">
                  <c:v>351.53949156627226</c:v>
                </c:pt>
                <c:pt idx="1024">
                  <c:v>351.4310542931629</c:v>
                </c:pt>
                <c:pt idx="1025">
                  <c:v>351.34105402316203</c:v>
                </c:pt>
                <c:pt idx="1026">
                  <c:v>358.41688295587699</c:v>
                </c:pt>
                <c:pt idx="1027">
                  <c:v>353.86600258033542</c:v>
                </c:pt>
                <c:pt idx="1028">
                  <c:v>354.16645833541662</c:v>
                </c:pt>
                <c:pt idx="1029">
                  <c:v>345.15870578738736</c:v>
                </c:pt>
                <c:pt idx="1030">
                  <c:v>343.15921691614727</c:v>
                </c:pt>
                <c:pt idx="1031">
                  <c:v>342.0012860424394</c:v>
                </c:pt>
                <c:pt idx="1032">
                  <c:v>341.60409924919099</c:v>
                </c:pt>
                <c:pt idx="1033">
                  <c:v>338.98610192984859</c:v>
                </c:pt>
                <c:pt idx="1034">
                  <c:v>335.17787509988631</c:v>
                </c:pt>
                <c:pt idx="1035">
                  <c:v>338.13956743893056</c:v>
                </c:pt>
                <c:pt idx="1036">
                  <c:v>337.72439041707548</c:v>
                </c:pt>
                <c:pt idx="1037">
                  <c:v>338.65051778550207</c:v>
                </c:pt>
                <c:pt idx="1038">
                  <c:v>338.22439691715994</c:v>
                </c:pt>
                <c:pt idx="1039">
                  <c:v>337.97236580656067</c:v>
                </c:pt>
                <c:pt idx="1040">
                  <c:v>340.17754828181342</c:v>
                </c:pt>
                <c:pt idx="1041">
                  <c:v>337.94264215702452</c:v>
                </c:pt>
                <c:pt idx="1042">
                  <c:v>337.47438716703323</c:v>
                </c:pt>
                <c:pt idx="1043">
                  <c:v>335.11379307930861</c:v>
                </c:pt>
                <c:pt idx="1044">
                  <c:v>334.69401632819591</c:v>
                </c:pt>
                <c:pt idx="1045">
                  <c:v>335.22463640581753</c:v>
                </c:pt>
                <c:pt idx="1046">
                  <c:v>337.99194666842646</c:v>
                </c:pt>
                <c:pt idx="1047">
                  <c:v>336.34681734086701</c:v>
                </c:pt>
                <c:pt idx="1048">
                  <c:v>339.27980409743532</c:v>
                </c:pt>
                <c:pt idx="1049">
                  <c:v>341.08192265809913</c:v>
                </c:pt>
                <c:pt idx="1050">
                  <c:v>343.45595808293422</c:v>
                </c:pt>
                <c:pt idx="1051">
                  <c:v>343.29205975235851</c:v>
                </c:pt>
                <c:pt idx="1052">
                  <c:v>336.83399845970735</c:v>
                </c:pt>
                <c:pt idx="1053">
                  <c:v>333.08697265396461</c:v>
                </c:pt>
                <c:pt idx="1054">
                  <c:v>320.26394214561037</c:v>
                </c:pt>
                <c:pt idx="1055">
                  <c:v>319.8231982319823</c:v>
                </c:pt>
                <c:pt idx="1056">
                  <c:v>315.15632798021312</c:v>
                </c:pt>
                <c:pt idx="1057">
                  <c:v>312.60532103100348</c:v>
                </c:pt>
                <c:pt idx="1058">
                  <c:v>307.22314960488166</c:v>
                </c:pt>
                <c:pt idx="1059">
                  <c:v>314.52388521977679</c:v>
                </c:pt>
                <c:pt idx="1060">
                  <c:v>313.24346946918718</c:v>
                </c:pt>
                <c:pt idx="1061">
                  <c:v>314.39805287399082</c:v>
                </c:pt>
                <c:pt idx="1062">
                  <c:v>315.29117184718831</c:v>
                </c:pt>
                <c:pt idx="1063">
                  <c:v>311.76522947093025</c:v>
                </c:pt>
                <c:pt idx="1064">
                  <c:v>312.93779542597838</c:v>
                </c:pt>
                <c:pt idx="1065">
                  <c:v>311.32650030451612</c:v>
                </c:pt>
                <c:pt idx="1066">
                  <c:v>307.48812852793748</c:v>
                </c:pt>
                <c:pt idx="1067">
                  <c:v>313.45824872500117</c:v>
                </c:pt>
                <c:pt idx="1068">
                  <c:v>315.00487976577119</c:v>
                </c:pt>
                <c:pt idx="1069">
                  <c:v>317.81139697427233</c:v>
                </c:pt>
                <c:pt idx="1070">
                  <c:v>313.51326483054663</c:v>
                </c:pt>
                <c:pt idx="1071">
                  <c:v>311.97497479879036</c:v>
                </c:pt>
                <c:pt idx="1072">
                  <c:v>310.14829874962624</c:v>
                </c:pt>
                <c:pt idx="1073">
                  <c:v>309.11020063662102</c:v>
                </c:pt>
                <c:pt idx="1074">
                  <c:v>310.44634036102411</c:v>
                </c:pt>
                <c:pt idx="1075">
                  <c:v>312.37063302075268</c:v>
                </c:pt>
                <c:pt idx="1076">
                  <c:v>314.61734755097632</c:v>
                </c:pt>
                <c:pt idx="1077">
                  <c:v>312.31342350676306</c:v>
                </c:pt>
                <c:pt idx="1078">
                  <c:v>314.57672132262218</c:v>
                </c:pt>
                <c:pt idx="1079">
                  <c:v>317.53015216569639</c:v>
                </c:pt>
                <c:pt idx="1080">
                  <c:v>318.67852757300739</c:v>
                </c:pt>
                <c:pt idx="1081">
                  <c:v>318.9671292958364</c:v>
                </c:pt>
                <c:pt idx="1082">
                  <c:v>325.25527420043409</c:v>
                </c:pt>
                <c:pt idx="1083">
                  <c:v>324.20134704714667</c:v>
                </c:pt>
                <c:pt idx="1084">
                  <c:v>331.21746337552077</c:v>
                </c:pt>
                <c:pt idx="1085">
                  <c:v>339.71269383768373</c:v>
                </c:pt>
                <c:pt idx="1086">
                  <c:v>355.80063889588564</c:v>
                </c:pt>
                <c:pt idx="1087">
                  <c:v>357.87067498355088</c:v>
                </c:pt>
                <c:pt idx="1088">
                  <c:v>360.45404730859377</c:v>
                </c:pt>
                <c:pt idx="1089">
                  <c:v>351.03302375129408</c:v>
                </c:pt>
                <c:pt idx="1090">
                  <c:v>353.07810915723229</c:v>
                </c:pt>
                <c:pt idx="1091">
                  <c:v>351.89231623106809</c:v>
                </c:pt>
                <c:pt idx="1092">
                  <c:v>349.17688662026973</c:v>
                </c:pt>
                <c:pt idx="1093">
                  <c:v>351.80291117583943</c:v>
                </c:pt>
                <c:pt idx="1094">
                  <c:v>363.23122338995154</c:v>
                </c:pt>
                <c:pt idx="1095">
                  <c:v>359.38953284861338</c:v>
                </c:pt>
                <c:pt idx="1096">
                  <c:v>359.67676290913386</c:v>
                </c:pt>
                <c:pt idx="1097">
                  <c:v>360.47206961446852</c:v>
                </c:pt>
                <c:pt idx="1098">
                  <c:v>361.08386157435325</c:v>
                </c:pt>
                <c:pt idx="1099">
                  <c:v>359.4168925939519</c:v>
                </c:pt>
                <c:pt idx="1100">
                  <c:v>360.8848428366008</c:v>
                </c:pt>
                <c:pt idx="1101">
                  <c:v>364.39428935964281</c:v>
                </c:pt>
                <c:pt idx="1102">
                  <c:v>362.10317460317458</c:v>
                </c:pt>
                <c:pt idx="1103">
                  <c:v>359.37695327149538</c:v>
                </c:pt>
                <c:pt idx="1104">
                  <c:v>354.23100926533425</c:v>
                </c:pt>
                <c:pt idx="1105">
                  <c:v>356.04112982011952</c:v>
                </c:pt>
                <c:pt idx="1106">
                  <c:v>353.12930973270784</c:v>
                </c:pt>
                <c:pt idx="1107">
                  <c:v>361.84953761559609</c:v>
                </c:pt>
                <c:pt idx="1108">
                  <c:v>364.91971166393188</c:v>
                </c:pt>
                <c:pt idx="1109">
                  <c:v>368.89978992289844</c:v>
                </c:pt>
                <c:pt idx="1110">
                  <c:v>364.37554694336791</c:v>
                </c:pt>
                <c:pt idx="1111">
                  <c:v>364.8052575316521</c:v>
                </c:pt>
                <c:pt idx="1112">
                  <c:v>360.76040516537853</c:v>
                </c:pt>
                <c:pt idx="1113">
                  <c:v>357.03677478780315</c:v>
                </c:pt>
                <c:pt idx="1114">
                  <c:v>356.72285378283027</c:v>
                </c:pt>
                <c:pt idx="1115">
                  <c:v>358.63063394576693</c:v>
                </c:pt>
                <c:pt idx="1116">
                  <c:v>353.15473898454263</c:v>
                </c:pt>
                <c:pt idx="1117">
                  <c:v>356.12901677554055</c:v>
                </c:pt>
                <c:pt idx="1118">
                  <c:v>354.43736743100413</c:v>
                </c:pt>
                <c:pt idx="1119">
                  <c:v>355.16254158662667</c:v>
                </c:pt>
                <c:pt idx="1120">
                  <c:v>357.8624445917664</c:v>
                </c:pt>
                <c:pt idx="1121">
                  <c:v>356.07815998615928</c:v>
                </c:pt>
                <c:pt idx="1122">
                  <c:v>357.45570177192911</c:v>
                </c:pt>
                <c:pt idx="1123">
                  <c:v>357.05428465141586</c:v>
                </c:pt>
                <c:pt idx="1124">
                  <c:v>359.8415725157713</c:v>
                </c:pt>
                <c:pt idx="1125">
                  <c:v>360.57278854422913</c:v>
                </c:pt>
                <c:pt idx="1126">
                  <c:v>356.29275513061566</c:v>
                </c:pt>
                <c:pt idx="1127">
                  <c:v>363.22808083999371</c:v>
                </c:pt>
                <c:pt idx="1128">
                  <c:v>364.18089547761309</c:v>
                </c:pt>
                <c:pt idx="1129">
                  <c:v>365.30867543106166</c:v>
                </c:pt>
                <c:pt idx="1130">
                  <c:v>372.25852636293831</c:v>
                </c:pt>
                <c:pt idx="1131">
                  <c:v>370.04294266244506</c:v>
                </c:pt>
                <c:pt idx="1132">
                  <c:v>371.9306596057005</c:v>
                </c:pt>
                <c:pt idx="1133">
                  <c:v>376.18673852506959</c:v>
                </c:pt>
                <c:pt idx="1134">
                  <c:v>374.69536250986289</c:v>
                </c:pt>
                <c:pt idx="1135">
                  <c:v>374.90775055349673</c:v>
                </c:pt>
                <c:pt idx="1136">
                  <c:v>376.35532214243648</c:v>
                </c:pt>
                <c:pt idx="1137">
                  <c:v>383.7736290478195</c:v>
                </c:pt>
                <c:pt idx="1138">
                  <c:v>384.26577307649615</c:v>
                </c:pt>
                <c:pt idx="1139">
                  <c:v>386.92291539592225</c:v>
                </c:pt>
                <c:pt idx="1140">
                  <c:v>387.60341074201745</c:v>
                </c:pt>
                <c:pt idx="1141">
                  <c:v>391.09441040865278</c:v>
                </c:pt>
                <c:pt idx="1142">
                  <c:v>400.017995860952</c:v>
                </c:pt>
                <c:pt idx="1143">
                  <c:v>399.09037634978506</c:v>
                </c:pt>
                <c:pt idx="1144">
                  <c:v>401.58429860488928</c:v>
                </c:pt>
                <c:pt idx="1145">
                  <c:v>399.24395463727825</c:v>
                </c:pt>
                <c:pt idx="1146">
                  <c:v>403.08049811118514</c:v>
                </c:pt>
                <c:pt idx="1147">
                  <c:v>405.63444502996316</c:v>
                </c:pt>
                <c:pt idx="1148">
                  <c:v>398.53053990556327</c:v>
                </c:pt>
                <c:pt idx="1149">
                  <c:v>399.90520350747022</c:v>
                </c:pt>
                <c:pt idx="1150">
                  <c:v>395.31585663937017</c:v>
                </c:pt>
                <c:pt idx="1151">
                  <c:v>395.31960468039534</c:v>
                </c:pt>
                <c:pt idx="1152">
                  <c:v>402.15962206613841</c:v>
                </c:pt>
                <c:pt idx="1153">
                  <c:v>398.64587812903164</c:v>
                </c:pt>
                <c:pt idx="1154">
                  <c:v>402.00542753323214</c:v>
                </c:pt>
                <c:pt idx="1155">
                  <c:v>394.68301635802624</c:v>
                </c:pt>
                <c:pt idx="1156">
                  <c:v>394.74842100631599</c:v>
                </c:pt>
                <c:pt idx="1157">
                  <c:v>399.31328034619952</c:v>
                </c:pt>
                <c:pt idx="1158">
                  <c:v>403.45804036380213</c:v>
                </c:pt>
                <c:pt idx="1159">
                  <c:v>407.54883756740571</c:v>
                </c:pt>
                <c:pt idx="1160">
                  <c:v>414.70701156596436</c:v>
                </c:pt>
                <c:pt idx="1161">
                  <c:v>417.05664482788961</c:v>
                </c:pt>
                <c:pt idx="1162">
                  <c:v>422.197647491711</c:v>
                </c:pt>
                <c:pt idx="1163">
                  <c:v>425.57595392368609</c:v>
                </c:pt>
                <c:pt idx="1164">
                  <c:v>421.49130614800254</c:v>
                </c:pt>
                <c:pt idx="1165">
                  <c:v>416.01408183063796</c:v>
                </c:pt>
                <c:pt idx="1166">
                  <c:v>419.42476831946118</c:v>
                </c:pt>
                <c:pt idx="1167">
                  <c:v>416.88584692250919</c:v>
                </c:pt>
                <c:pt idx="1168">
                  <c:v>418.86947539570559</c:v>
                </c:pt>
                <c:pt idx="1169">
                  <c:v>419.96908080389909</c:v>
                </c:pt>
                <c:pt idx="1170">
                  <c:v>419.00005600134403</c:v>
                </c:pt>
                <c:pt idx="1171">
                  <c:v>414.82148214821478</c:v>
                </c:pt>
                <c:pt idx="1172">
                  <c:v>413.37405471786042</c:v>
                </c:pt>
                <c:pt idx="1173">
                  <c:v>421.26869514183761</c:v>
                </c:pt>
                <c:pt idx="1174">
                  <c:v>420.5084101682034</c:v>
                </c:pt>
                <c:pt idx="1175">
                  <c:v>423.87566607104827</c:v>
                </c:pt>
                <c:pt idx="1176">
                  <c:v>428.59199769625803</c:v>
                </c:pt>
                <c:pt idx="1177">
                  <c:v>429.10527984192174</c:v>
                </c:pt>
                <c:pt idx="1178">
                  <c:v>428.4072829238097</c:v>
                </c:pt>
                <c:pt idx="1179">
                  <c:v>422.97414069000837</c:v>
                </c:pt>
                <c:pt idx="1180">
                  <c:v>423.4744948315672</c:v>
                </c:pt>
                <c:pt idx="1181">
                  <c:v>420.76734987774205</c:v>
                </c:pt>
                <c:pt idx="1182">
                  <c:v>421.63114574593931</c:v>
                </c:pt>
                <c:pt idx="1183">
                  <c:v>421.07547398116179</c:v>
                </c:pt>
                <c:pt idx="1184">
                  <c:v>425.04962028607281</c:v>
                </c:pt>
                <c:pt idx="1185">
                  <c:v>427.19864006799656</c:v>
                </c:pt>
                <c:pt idx="1186">
                  <c:v>438.12696324348315</c:v>
                </c:pt>
                <c:pt idx="1187">
                  <c:v>441.14044359027946</c:v>
                </c:pt>
                <c:pt idx="1188">
                  <c:v>449.36551928237486</c:v>
                </c:pt>
                <c:pt idx="1189">
                  <c:v>448.33120828020702</c:v>
                </c:pt>
                <c:pt idx="1190">
                  <c:v>443.16140672317988</c:v>
                </c:pt>
                <c:pt idx="1191">
                  <c:v>440.72379908515057</c:v>
                </c:pt>
                <c:pt idx="1192">
                  <c:v>447.53973626140697</c:v>
                </c:pt>
                <c:pt idx="1193">
                  <c:v>446.80804254476578</c:v>
                </c:pt>
                <c:pt idx="1194">
                  <c:v>446.52267913607477</c:v>
                </c:pt>
                <c:pt idx="1195">
                  <c:v>447.36150013149751</c:v>
                </c:pt>
                <c:pt idx="1196">
                  <c:v>446.85536226434721</c:v>
                </c:pt>
                <c:pt idx="1197">
                  <c:v>446.98865903402293</c:v>
                </c:pt>
                <c:pt idx="1198">
                  <c:v>452.93930613297812</c:v>
                </c:pt>
                <c:pt idx="1199">
                  <c:v>465.45060473188454</c:v>
                </c:pt>
                <c:pt idx="1200">
                  <c:v>463.98623951838317</c:v>
                </c:pt>
                <c:pt idx="1201">
                  <c:v>446.07352260029148</c:v>
                </c:pt>
                <c:pt idx="1202">
                  <c:v>437.42398540519775</c:v>
                </c:pt>
                <c:pt idx="1203">
                  <c:v>446.66396724704185</c:v>
                </c:pt>
                <c:pt idx="1204">
                  <c:v>440.00688104591899</c:v>
                </c:pt>
                <c:pt idx="1205">
                  <c:v>443.12765168142727</c:v>
                </c:pt>
                <c:pt idx="1206">
                  <c:v>440.58599457367984</c:v>
                </c:pt>
                <c:pt idx="1207">
                  <c:v>439.71835464873828</c:v>
                </c:pt>
                <c:pt idx="1208">
                  <c:v>435.30396570053574</c:v>
                </c:pt>
                <c:pt idx="1209">
                  <c:v>431.46796918128797</c:v>
                </c:pt>
                <c:pt idx="1210">
                  <c:v>430.40032960791058</c:v>
                </c:pt>
                <c:pt idx="1211">
                  <c:v>430.34043034043032</c:v>
                </c:pt>
                <c:pt idx="1212">
                  <c:v>427.95396542206362</c:v>
                </c:pt>
                <c:pt idx="1213">
                  <c:v>433.8296976720236</c:v>
                </c:pt>
                <c:pt idx="1214">
                  <c:v>427.42411361704256</c:v>
                </c:pt>
                <c:pt idx="1215">
                  <c:v>424.54802016933115</c:v>
                </c:pt>
                <c:pt idx="1216">
                  <c:v>424.94575054249452</c:v>
                </c:pt>
                <c:pt idx="1217">
                  <c:v>425.93020360531705</c:v>
                </c:pt>
                <c:pt idx="1218">
                  <c:v>417.27554148600461</c:v>
                </c:pt>
                <c:pt idx="1219">
                  <c:v>417.80373294400579</c:v>
                </c:pt>
                <c:pt idx="1220">
                  <c:v>423.57112361381775</c:v>
                </c:pt>
                <c:pt idx="1221">
                  <c:v>429.66812778959837</c:v>
                </c:pt>
                <c:pt idx="1222">
                  <c:v>426.16579792702584</c:v>
                </c:pt>
                <c:pt idx="1223">
                  <c:v>426.55573444265553</c:v>
                </c:pt>
                <c:pt idx="1224">
                  <c:v>419.49005483915818</c:v>
                </c:pt>
                <c:pt idx="1225">
                  <c:v>417.58837388845109</c:v>
                </c:pt>
                <c:pt idx="1226">
                  <c:v>416.35207421015207</c:v>
                </c:pt>
                <c:pt idx="1227">
                  <c:v>418.86444926859457</c:v>
                </c:pt>
                <c:pt idx="1228">
                  <c:v>415.98911923834669</c:v>
                </c:pt>
                <c:pt idx="1229">
                  <c:v>417.22706596095526</c:v>
                </c:pt>
                <c:pt idx="1230">
                  <c:v>413.91311304904389</c:v>
                </c:pt>
                <c:pt idx="1231">
                  <c:v>419.12635182696619</c:v>
                </c:pt>
                <c:pt idx="1232">
                  <c:v>423.24852164487885</c:v>
                </c:pt>
                <c:pt idx="1233">
                  <c:v>421.84476456675981</c:v>
                </c:pt>
                <c:pt idx="1234">
                  <c:v>418.78057098168165</c:v>
                </c:pt>
                <c:pt idx="1235">
                  <c:v>423.01642930778132</c:v>
                </c:pt>
                <c:pt idx="1236">
                  <c:v>426.75244578477094</c:v>
                </c:pt>
                <c:pt idx="1237">
                  <c:v>428.99769212000979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0-46C2-8075-F75741286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17247"/>
        <c:axId val="15024735"/>
      </c:lineChart>
      <c:catAx>
        <c:axId val="15017247"/>
        <c:scaling>
          <c:orientation val="minMax"/>
        </c:scaling>
        <c:delete val="0"/>
        <c:axPos val="b"/>
        <c:numFmt formatCode="mmm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1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735"/>
        <c:crosses val="autoZero"/>
        <c:auto val="1"/>
        <c:lblAlgn val="ctr"/>
        <c:lblOffset val="100"/>
        <c:noMultiLvlLbl val="0"/>
      </c:catAx>
      <c:valAx>
        <c:axId val="1502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247594050743664E-2"/>
          <c:y val="0.15830132309005548"/>
          <c:w val="0.89853018372703408"/>
          <c:h val="0.687203296130877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Vol.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Sheet3!$B$2:$B$1246</c:f>
              <c:strCache>
                <c:ptCount val="1245"/>
                <c:pt idx="0">
                  <c:v>14-09-2018</c:v>
                </c:pt>
                <c:pt idx="1">
                  <c:v>17-09-2018</c:v>
                </c:pt>
                <c:pt idx="2">
                  <c:v>18-09-2018</c:v>
                </c:pt>
                <c:pt idx="3">
                  <c:v>19-09-2018</c:v>
                </c:pt>
                <c:pt idx="4">
                  <c:v>21-09-2018</c:v>
                </c:pt>
                <c:pt idx="5">
                  <c:v>24-09-2018</c:v>
                </c:pt>
                <c:pt idx="6">
                  <c:v>25-09-2018</c:v>
                </c:pt>
                <c:pt idx="7">
                  <c:v>26-09-2018</c:v>
                </c:pt>
                <c:pt idx="8">
                  <c:v>27-09-2018</c:v>
                </c:pt>
                <c:pt idx="9">
                  <c:v>28-09-2018</c:v>
                </c:pt>
                <c:pt idx="10">
                  <c:v>01-10-2018</c:v>
                </c:pt>
                <c:pt idx="11">
                  <c:v>03-10-2018</c:v>
                </c:pt>
                <c:pt idx="12">
                  <c:v>04-10-2018</c:v>
                </c:pt>
                <c:pt idx="13">
                  <c:v>05-10-2018</c:v>
                </c:pt>
                <c:pt idx="14">
                  <c:v>08-10-2018</c:v>
                </c:pt>
                <c:pt idx="15">
                  <c:v>09-10-2018</c:v>
                </c:pt>
                <c:pt idx="16">
                  <c:v>10-10-2018</c:v>
                </c:pt>
                <c:pt idx="17">
                  <c:v>11-10-2018</c:v>
                </c:pt>
                <c:pt idx="18">
                  <c:v>12-10-2018</c:v>
                </c:pt>
                <c:pt idx="19">
                  <c:v>15-10-2018</c:v>
                </c:pt>
                <c:pt idx="20">
                  <c:v>16-10-2018</c:v>
                </c:pt>
                <c:pt idx="21">
                  <c:v>17-10-2018</c:v>
                </c:pt>
                <c:pt idx="22">
                  <c:v>19-10-2018</c:v>
                </c:pt>
                <c:pt idx="23">
                  <c:v>22-10-2018</c:v>
                </c:pt>
                <c:pt idx="24">
                  <c:v>23-10-2018</c:v>
                </c:pt>
                <c:pt idx="25">
                  <c:v>24-10-2018</c:v>
                </c:pt>
                <c:pt idx="26">
                  <c:v>25-10-2018</c:v>
                </c:pt>
                <c:pt idx="27">
                  <c:v>26-10-2018</c:v>
                </c:pt>
                <c:pt idx="28">
                  <c:v>29-10-2018</c:v>
                </c:pt>
                <c:pt idx="29">
                  <c:v>30-10-2018</c:v>
                </c:pt>
                <c:pt idx="30">
                  <c:v>31-10-2018</c:v>
                </c:pt>
                <c:pt idx="31">
                  <c:v>01-11-2018</c:v>
                </c:pt>
                <c:pt idx="32">
                  <c:v>02-11-2018</c:v>
                </c:pt>
                <c:pt idx="33">
                  <c:v>05-11-2018</c:v>
                </c:pt>
                <c:pt idx="34">
                  <c:v>06-11-2018</c:v>
                </c:pt>
                <c:pt idx="35">
                  <c:v>07-11-2018</c:v>
                </c:pt>
                <c:pt idx="36">
                  <c:v>09-11-2018</c:v>
                </c:pt>
                <c:pt idx="37">
                  <c:v>12-11-2018</c:v>
                </c:pt>
                <c:pt idx="38">
                  <c:v>13-11-2018</c:v>
                </c:pt>
                <c:pt idx="39">
                  <c:v>14-11-2018</c:v>
                </c:pt>
                <c:pt idx="40">
                  <c:v>15-11-2018</c:v>
                </c:pt>
                <c:pt idx="41">
                  <c:v>16-11-2018</c:v>
                </c:pt>
                <c:pt idx="42">
                  <c:v>19-11-2018</c:v>
                </c:pt>
                <c:pt idx="43">
                  <c:v>20-11-2018</c:v>
                </c:pt>
                <c:pt idx="44">
                  <c:v>21-11-2018</c:v>
                </c:pt>
                <c:pt idx="45">
                  <c:v>22-11-2018</c:v>
                </c:pt>
                <c:pt idx="46">
                  <c:v>26-11-2018</c:v>
                </c:pt>
                <c:pt idx="47">
                  <c:v>27-11-2018</c:v>
                </c:pt>
                <c:pt idx="48">
                  <c:v>28-11-2018</c:v>
                </c:pt>
                <c:pt idx="49">
                  <c:v>29-11-2018</c:v>
                </c:pt>
                <c:pt idx="50">
                  <c:v>30-11-2018</c:v>
                </c:pt>
                <c:pt idx="51">
                  <c:v>03-12-2018</c:v>
                </c:pt>
                <c:pt idx="52">
                  <c:v>04-12-2018</c:v>
                </c:pt>
                <c:pt idx="53">
                  <c:v>05-12-2018</c:v>
                </c:pt>
                <c:pt idx="54">
                  <c:v>06-12-2018</c:v>
                </c:pt>
                <c:pt idx="55">
                  <c:v>07-12-2018</c:v>
                </c:pt>
                <c:pt idx="56">
                  <c:v>10-12-2018</c:v>
                </c:pt>
                <c:pt idx="57">
                  <c:v>11-12-2018</c:v>
                </c:pt>
                <c:pt idx="58">
                  <c:v>12-12-2018</c:v>
                </c:pt>
                <c:pt idx="59">
                  <c:v>13-12-2018</c:v>
                </c:pt>
                <c:pt idx="60">
                  <c:v>14-12-2018</c:v>
                </c:pt>
                <c:pt idx="61">
                  <c:v>17-12-2018</c:v>
                </c:pt>
                <c:pt idx="62">
                  <c:v>18-12-2018</c:v>
                </c:pt>
                <c:pt idx="63">
                  <c:v>19-12-2018</c:v>
                </c:pt>
                <c:pt idx="64">
                  <c:v>20-12-2018</c:v>
                </c:pt>
                <c:pt idx="65">
                  <c:v>21-12-2018</c:v>
                </c:pt>
                <c:pt idx="66">
                  <c:v>24-12-2018</c:v>
                </c:pt>
                <c:pt idx="67">
                  <c:v>26-12-2018</c:v>
                </c:pt>
                <c:pt idx="68">
                  <c:v>27-12-2018</c:v>
                </c:pt>
                <c:pt idx="69">
                  <c:v>28-12-2018</c:v>
                </c:pt>
                <c:pt idx="70">
                  <c:v>31-12-2018</c:v>
                </c:pt>
                <c:pt idx="71">
                  <c:v>01-01-2019</c:v>
                </c:pt>
                <c:pt idx="72">
                  <c:v>02-01-2019</c:v>
                </c:pt>
                <c:pt idx="73">
                  <c:v>03-01-2019</c:v>
                </c:pt>
                <c:pt idx="74">
                  <c:v>04-01-2019</c:v>
                </c:pt>
                <c:pt idx="75">
                  <c:v>07-01-2019</c:v>
                </c:pt>
                <c:pt idx="76">
                  <c:v>08-01-2019</c:v>
                </c:pt>
                <c:pt idx="77">
                  <c:v>09-01-2019</c:v>
                </c:pt>
                <c:pt idx="78">
                  <c:v>10-01-2019</c:v>
                </c:pt>
                <c:pt idx="79">
                  <c:v>11-01-2019</c:v>
                </c:pt>
                <c:pt idx="80">
                  <c:v>14-01-2019</c:v>
                </c:pt>
                <c:pt idx="81">
                  <c:v>15-01-2019</c:v>
                </c:pt>
                <c:pt idx="82">
                  <c:v>16-01-2019</c:v>
                </c:pt>
                <c:pt idx="83">
                  <c:v>17-01-2019</c:v>
                </c:pt>
                <c:pt idx="84">
                  <c:v>18-01-2019</c:v>
                </c:pt>
                <c:pt idx="85">
                  <c:v>21-01-2019</c:v>
                </c:pt>
                <c:pt idx="86">
                  <c:v>22-01-2019</c:v>
                </c:pt>
                <c:pt idx="87">
                  <c:v>23-01-2019</c:v>
                </c:pt>
                <c:pt idx="88">
                  <c:v>24-01-2019</c:v>
                </c:pt>
                <c:pt idx="89">
                  <c:v>25-01-2019</c:v>
                </c:pt>
                <c:pt idx="90">
                  <c:v>28-01-2019</c:v>
                </c:pt>
                <c:pt idx="91">
                  <c:v>29-01-2019</c:v>
                </c:pt>
                <c:pt idx="92">
                  <c:v>30-01-2019</c:v>
                </c:pt>
                <c:pt idx="93">
                  <c:v>31-01-2019</c:v>
                </c:pt>
                <c:pt idx="94">
                  <c:v>01-02-2019</c:v>
                </c:pt>
                <c:pt idx="95">
                  <c:v>04-02-2019</c:v>
                </c:pt>
                <c:pt idx="96">
                  <c:v>05-02-2019</c:v>
                </c:pt>
                <c:pt idx="97">
                  <c:v>06-02-2019</c:v>
                </c:pt>
                <c:pt idx="98">
                  <c:v>07-02-2019</c:v>
                </c:pt>
                <c:pt idx="99">
                  <c:v>08-02-2019</c:v>
                </c:pt>
                <c:pt idx="100">
                  <c:v>11-02-2019</c:v>
                </c:pt>
                <c:pt idx="101">
                  <c:v>12-02-2019</c:v>
                </c:pt>
                <c:pt idx="102">
                  <c:v>13-02-2019</c:v>
                </c:pt>
                <c:pt idx="103">
                  <c:v>14-02-2019</c:v>
                </c:pt>
                <c:pt idx="104">
                  <c:v>15-02-2019</c:v>
                </c:pt>
                <c:pt idx="105">
                  <c:v>18-02-2019</c:v>
                </c:pt>
                <c:pt idx="106">
                  <c:v>19-02-2019</c:v>
                </c:pt>
                <c:pt idx="107">
                  <c:v>20-02-2019</c:v>
                </c:pt>
                <c:pt idx="108">
                  <c:v>21-02-2019</c:v>
                </c:pt>
                <c:pt idx="109">
                  <c:v>22-02-2019</c:v>
                </c:pt>
                <c:pt idx="110">
                  <c:v>25-02-2019</c:v>
                </c:pt>
                <c:pt idx="111">
                  <c:v>26-02-2019</c:v>
                </c:pt>
                <c:pt idx="112">
                  <c:v>27-02-2019</c:v>
                </c:pt>
                <c:pt idx="113">
                  <c:v>28-02-2019</c:v>
                </c:pt>
                <c:pt idx="114">
                  <c:v>01-03-2019</c:v>
                </c:pt>
                <c:pt idx="115">
                  <c:v>05-03-2019</c:v>
                </c:pt>
                <c:pt idx="116">
                  <c:v>06-03-2019</c:v>
                </c:pt>
                <c:pt idx="117">
                  <c:v>07-03-2019</c:v>
                </c:pt>
                <c:pt idx="118">
                  <c:v>08-03-2019</c:v>
                </c:pt>
                <c:pt idx="119">
                  <c:v>11-03-2019</c:v>
                </c:pt>
                <c:pt idx="120">
                  <c:v>12-03-2019</c:v>
                </c:pt>
                <c:pt idx="121">
                  <c:v>13-03-2019</c:v>
                </c:pt>
                <c:pt idx="122">
                  <c:v>14-03-2019</c:v>
                </c:pt>
                <c:pt idx="123">
                  <c:v>15-03-2019</c:v>
                </c:pt>
                <c:pt idx="124">
                  <c:v>18-03-2019</c:v>
                </c:pt>
                <c:pt idx="125">
                  <c:v>19-03-2019</c:v>
                </c:pt>
                <c:pt idx="126">
                  <c:v>20-03-2019</c:v>
                </c:pt>
                <c:pt idx="127">
                  <c:v>22-03-2019</c:v>
                </c:pt>
                <c:pt idx="128">
                  <c:v>25-03-2019</c:v>
                </c:pt>
                <c:pt idx="129">
                  <c:v>26-03-2019</c:v>
                </c:pt>
                <c:pt idx="130">
                  <c:v>27-03-2019</c:v>
                </c:pt>
                <c:pt idx="131">
                  <c:v>28-03-2019</c:v>
                </c:pt>
                <c:pt idx="132">
                  <c:v>29-03-2019</c:v>
                </c:pt>
                <c:pt idx="133">
                  <c:v>01-04-2019</c:v>
                </c:pt>
                <c:pt idx="134">
                  <c:v>02-04-2019</c:v>
                </c:pt>
                <c:pt idx="135">
                  <c:v>03-04-2019</c:v>
                </c:pt>
                <c:pt idx="136">
                  <c:v>04-04-2019</c:v>
                </c:pt>
                <c:pt idx="137">
                  <c:v>05-04-2019</c:v>
                </c:pt>
                <c:pt idx="138">
                  <c:v>08-04-2019</c:v>
                </c:pt>
                <c:pt idx="139">
                  <c:v>09-04-2019</c:v>
                </c:pt>
                <c:pt idx="140">
                  <c:v>10-04-2019</c:v>
                </c:pt>
                <c:pt idx="141">
                  <c:v>11-04-2019</c:v>
                </c:pt>
                <c:pt idx="142">
                  <c:v>12-04-2019</c:v>
                </c:pt>
                <c:pt idx="143">
                  <c:v>15-04-2019</c:v>
                </c:pt>
                <c:pt idx="144">
                  <c:v>16-04-2019</c:v>
                </c:pt>
                <c:pt idx="145">
                  <c:v>18-04-2019</c:v>
                </c:pt>
                <c:pt idx="146">
                  <c:v>22-04-2019</c:v>
                </c:pt>
                <c:pt idx="147">
                  <c:v>23-04-2019</c:v>
                </c:pt>
                <c:pt idx="148">
                  <c:v>24-04-2019</c:v>
                </c:pt>
                <c:pt idx="149">
                  <c:v>25-04-2019</c:v>
                </c:pt>
                <c:pt idx="150">
                  <c:v>26-04-2019</c:v>
                </c:pt>
                <c:pt idx="151">
                  <c:v>30-04-2019</c:v>
                </c:pt>
                <c:pt idx="152">
                  <c:v>02-05-2019</c:v>
                </c:pt>
                <c:pt idx="153">
                  <c:v>03-05-2019</c:v>
                </c:pt>
                <c:pt idx="154">
                  <c:v>06-05-2019</c:v>
                </c:pt>
                <c:pt idx="155">
                  <c:v>07-05-2019</c:v>
                </c:pt>
                <c:pt idx="156">
                  <c:v>08-05-2019</c:v>
                </c:pt>
                <c:pt idx="157">
                  <c:v>09-05-2019</c:v>
                </c:pt>
                <c:pt idx="158">
                  <c:v>10-05-2019</c:v>
                </c:pt>
                <c:pt idx="159">
                  <c:v>13-05-2019</c:v>
                </c:pt>
                <c:pt idx="160">
                  <c:v>14-05-2019</c:v>
                </c:pt>
                <c:pt idx="161">
                  <c:v>15-05-2019</c:v>
                </c:pt>
                <c:pt idx="162">
                  <c:v>16-05-2019</c:v>
                </c:pt>
                <c:pt idx="163">
                  <c:v>17-05-2019</c:v>
                </c:pt>
                <c:pt idx="164">
                  <c:v>20-05-2019</c:v>
                </c:pt>
                <c:pt idx="165">
                  <c:v>21-05-2019</c:v>
                </c:pt>
                <c:pt idx="166">
                  <c:v>22-05-2019</c:v>
                </c:pt>
                <c:pt idx="167">
                  <c:v>23-05-2019</c:v>
                </c:pt>
                <c:pt idx="168">
                  <c:v>24-05-2019</c:v>
                </c:pt>
                <c:pt idx="169">
                  <c:v>27-05-2019</c:v>
                </c:pt>
                <c:pt idx="170">
                  <c:v>28-05-2019</c:v>
                </c:pt>
                <c:pt idx="171">
                  <c:v>29-05-2019</c:v>
                </c:pt>
                <c:pt idx="172">
                  <c:v>30-05-2019</c:v>
                </c:pt>
                <c:pt idx="173">
                  <c:v>31-05-2019</c:v>
                </c:pt>
                <c:pt idx="174">
                  <c:v>03-06-2019</c:v>
                </c:pt>
                <c:pt idx="175">
                  <c:v>04-06-2019</c:v>
                </c:pt>
                <c:pt idx="176">
                  <c:v>06-06-2019</c:v>
                </c:pt>
                <c:pt idx="177">
                  <c:v>07-06-2019</c:v>
                </c:pt>
                <c:pt idx="178">
                  <c:v>10-06-2019</c:v>
                </c:pt>
                <c:pt idx="179">
                  <c:v>11-06-2019</c:v>
                </c:pt>
                <c:pt idx="180">
                  <c:v>12-06-2019</c:v>
                </c:pt>
                <c:pt idx="181">
                  <c:v>13-06-2019</c:v>
                </c:pt>
                <c:pt idx="182">
                  <c:v>14-06-2019</c:v>
                </c:pt>
                <c:pt idx="183">
                  <c:v>17-06-2019</c:v>
                </c:pt>
                <c:pt idx="184">
                  <c:v>18-06-2019</c:v>
                </c:pt>
                <c:pt idx="185">
                  <c:v>19-06-2019</c:v>
                </c:pt>
                <c:pt idx="186">
                  <c:v>20-06-2019</c:v>
                </c:pt>
                <c:pt idx="187">
                  <c:v>21-06-2019</c:v>
                </c:pt>
                <c:pt idx="188">
                  <c:v>24-06-2019</c:v>
                </c:pt>
                <c:pt idx="189">
                  <c:v>25-06-2019</c:v>
                </c:pt>
                <c:pt idx="190">
                  <c:v>26-06-2019</c:v>
                </c:pt>
                <c:pt idx="191">
                  <c:v>27-06-2019</c:v>
                </c:pt>
                <c:pt idx="192">
                  <c:v>28-06-2019</c:v>
                </c:pt>
                <c:pt idx="193">
                  <c:v>01-07-2019</c:v>
                </c:pt>
                <c:pt idx="194">
                  <c:v>02-07-2019</c:v>
                </c:pt>
                <c:pt idx="195">
                  <c:v>03-07-2019</c:v>
                </c:pt>
                <c:pt idx="196">
                  <c:v>04-07-2019</c:v>
                </c:pt>
                <c:pt idx="197">
                  <c:v>05-07-2019</c:v>
                </c:pt>
                <c:pt idx="198">
                  <c:v>08-07-2019</c:v>
                </c:pt>
                <c:pt idx="199">
                  <c:v>09-07-2019</c:v>
                </c:pt>
                <c:pt idx="200">
                  <c:v>10-07-2019</c:v>
                </c:pt>
                <c:pt idx="201">
                  <c:v>11-07-2019</c:v>
                </c:pt>
                <c:pt idx="202">
                  <c:v>12-07-2019</c:v>
                </c:pt>
                <c:pt idx="203">
                  <c:v>15-07-2019</c:v>
                </c:pt>
                <c:pt idx="204">
                  <c:v>16-07-2019</c:v>
                </c:pt>
                <c:pt idx="205">
                  <c:v>17-07-2019</c:v>
                </c:pt>
                <c:pt idx="206">
                  <c:v>18-07-2019</c:v>
                </c:pt>
                <c:pt idx="207">
                  <c:v>19-07-2019</c:v>
                </c:pt>
                <c:pt idx="208">
                  <c:v>22-07-2019</c:v>
                </c:pt>
                <c:pt idx="209">
                  <c:v>23-07-2019</c:v>
                </c:pt>
                <c:pt idx="210">
                  <c:v>24-07-2019</c:v>
                </c:pt>
                <c:pt idx="211">
                  <c:v>25-07-2019</c:v>
                </c:pt>
                <c:pt idx="212">
                  <c:v>26-07-2019</c:v>
                </c:pt>
                <c:pt idx="213">
                  <c:v>29-07-2019</c:v>
                </c:pt>
                <c:pt idx="214">
                  <c:v>30-07-2019</c:v>
                </c:pt>
                <c:pt idx="215">
                  <c:v>31-07-2019</c:v>
                </c:pt>
                <c:pt idx="216">
                  <c:v>01-08-2019</c:v>
                </c:pt>
                <c:pt idx="217">
                  <c:v>02-08-2019</c:v>
                </c:pt>
                <c:pt idx="218">
                  <c:v>05-08-2019</c:v>
                </c:pt>
                <c:pt idx="219">
                  <c:v>06-08-2019</c:v>
                </c:pt>
                <c:pt idx="220">
                  <c:v>07-08-2019</c:v>
                </c:pt>
                <c:pt idx="221">
                  <c:v>08-08-2019</c:v>
                </c:pt>
                <c:pt idx="222">
                  <c:v>09-08-2019</c:v>
                </c:pt>
                <c:pt idx="223">
                  <c:v>13-08-2019</c:v>
                </c:pt>
                <c:pt idx="224">
                  <c:v>14-08-2019</c:v>
                </c:pt>
                <c:pt idx="225">
                  <c:v>16-08-2019</c:v>
                </c:pt>
                <c:pt idx="226">
                  <c:v>19-08-2019</c:v>
                </c:pt>
                <c:pt idx="227">
                  <c:v>20-08-2019</c:v>
                </c:pt>
                <c:pt idx="228">
                  <c:v>21-08-2019</c:v>
                </c:pt>
                <c:pt idx="229">
                  <c:v>22-08-2019</c:v>
                </c:pt>
                <c:pt idx="230">
                  <c:v>23-08-2019</c:v>
                </c:pt>
                <c:pt idx="231">
                  <c:v>26-08-2019</c:v>
                </c:pt>
                <c:pt idx="232">
                  <c:v>27-08-2019</c:v>
                </c:pt>
                <c:pt idx="233">
                  <c:v>28-08-2019</c:v>
                </c:pt>
                <c:pt idx="234">
                  <c:v>29-08-2019</c:v>
                </c:pt>
                <c:pt idx="235">
                  <c:v>30-08-2019</c:v>
                </c:pt>
                <c:pt idx="236">
                  <c:v>03-09-2019</c:v>
                </c:pt>
                <c:pt idx="237">
                  <c:v>04-09-2019</c:v>
                </c:pt>
                <c:pt idx="238">
                  <c:v>05-09-2019</c:v>
                </c:pt>
                <c:pt idx="239">
                  <c:v>06-09-2019</c:v>
                </c:pt>
                <c:pt idx="240">
                  <c:v>09-09-2019</c:v>
                </c:pt>
                <c:pt idx="241">
                  <c:v>11-09-2019</c:v>
                </c:pt>
                <c:pt idx="242">
                  <c:v>12-09-2019</c:v>
                </c:pt>
                <c:pt idx="243">
                  <c:v>13-09-2019</c:v>
                </c:pt>
                <c:pt idx="244">
                  <c:v>16-09-2019</c:v>
                </c:pt>
                <c:pt idx="245">
                  <c:v>17-09-2019</c:v>
                </c:pt>
                <c:pt idx="246">
                  <c:v>18-09-2019</c:v>
                </c:pt>
                <c:pt idx="247">
                  <c:v>19-09-2019</c:v>
                </c:pt>
                <c:pt idx="248">
                  <c:v>20-09-2019</c:v>
                </c:pt>
                <c:pt idx="249">
                  <c:v>23-09-2019</c:v>
                </c:pt>
                <c:pt idx="250">
                  <c:v>24-09-2019</c:v>
                </c:pt>
                <c:pt idx="251">
                  <c:v>25-09-2019</c:v>
                </c:pt>
                <c:pt idx="252">
                  <c:v>26-09-2019</c:v>
                </c:pt>
                <c:pt idx="253">
                  <c:v>27-09-2019</c:v>
                </c:pt>
                <c:pt idx="254">
                  <c:v>30-09-2019</c:v>
                </c:pt>
                <c:pt idx="255">
                  <c:v>01-10-2019</c:v>
                </c:pt>
                <c:pt idx="256">
                  <c:v>03-10-2019</c:v>
                </c:pt>
                <c:pt idx="257">
                  <c:v>04-10-2019</c:v>
                </c:pt>
                <c:pt idx="258">
                  <c:v>07-10-2019</c:v>
                </c:pt>
                <c:pt idx="259">
                  <c:v>09-10-2019</c:v>
                </c:pt>
                <c:pt idx="260">
                  <c:v>10-10-2019</c:v>
                </c:pt>
                <c:pt idx="261">
                  <c:v>11-10-2019</c:v>
                </c:pt>
                <c:pt idx="262">
                  <c:v>14-10-2019</c:v>
                </c:pt>
                <c:pt idx="263">
                  <c:v>15-10-2019</c:v>
                </c:pt>
                <c:pt idx="264">
                  <c:v>16-10-2019</c:v>
                </c:pt>
                <c:pt idx="265">
                  <c:v>17-10-2019</c:v>
                </c:pt>
                <c:pt idx="266">
                  <c:v>18-10-2019</c:v>
                </c:pt>
                <c:pt idx="267">
                  <c:v>22-10-2019</c:v>
                </c:pt>
                <c:pt idx="268">
                  <c:v>23-10-2019</c:v>
                </c:pt>
                <c:pt idx="269">
                  <c:v>24-10-2019</c:v>
                </c:pt>
                <c:pt idx="270">
                  <c:v>25-10-2019</c:v>
                </c:pt>
                <c:pt idx="271">
                  <c:v>27-10-2019</c:v>
                </c:pt>
                <c:pt idx="272">
                  <c:v>29-10-2019</c:v>
                </c:pt>
                <c:pt idx="273">
                  <c:v>30-10-2019</c:v>
                </c:pt>
                <c:pt idx="274">
                  <c:v>31-10-2019</c:v>
                </c:pt>
                <c:pt idx="275">
                  <c:v>01-11-2019</c:v>
                </c:pt>
                <c:pt idx="276">
                  <c:v>04-11-2019</c:v>
                </c:pt>
                <c:pt idx="277">
                  <c:v>05-11-2019</c:v>
                </c:pt>
                <c:pt idx="278">
                  <c:v>06-11-2019</c:v>
                </c:pt>
                <c:pt idx="279">
                  <c:v>07-11-2019</c:v>
                </c:pt>
                <c:pt idx="280">
                  <c:v>08-11-2019</c:v>
                </c:pt>
                <c:pt idx="281">
                  <c:v>11-11-2019</c:v>
                </c:pt>
                <c:pt idx="282">
                  <c:v>13-11-2019</c:v>
                </c:pt>
                <c:pt idx="283">
                  <c:v>14-11-2019</c:v>
                </c:pt>
                <c:pt idx="284">
                  <c:v>15-11-2019</c:v>
                </c:pt>
                <c:pt idx="285">
                  <c:v>18-11-2019</c:v>
                </c:pt>
                <c:pt idx="286">
                  <c:v>19-11-2019</c:v>
                </c:pt>
                <c:pt idx="287">
                  <c:v>20-11-2019</c:v>
                </c:pt>
                <c:pt idx="288">
                  <c:v>21-11-2019</c:v>
                </c:pt>
                <c:pt idx="289">
                  <c:v>22-11-2019</c:v>
                </c:pt>
                <c:pt idx="290">
                  <c:v>25-11-2019</c:v>
                </c:pt>
                <c:pt idx="291">
                  <c:v>26-11-2019</c:v>
                </c:pt>
                <c:pt idx="292">
                  <c:v>27-11-2019</c:v>
                </c:pt>
                <c:pt idx="293">
                  <c:v>28-11-2019</c:v>
                </c:pt>
                <c:pt idx="294">
                  <c:v>29-11-2019</c:v>
                </c:pt>
                <c:pt idx="295">
                  <c:v>02-12-2019</c:v>
                </c:pt>
                <c:pt idx="296">
                  <c:v>03-12-2019</c:v>
                </c:pt>
                <c:pt idx="297">
                  <c:v>04-12-2019</c:v>
                </c:pt>
                <c:pt idx="298">
                  <c:v>05-12-2019</c:v>
                </c:pt>
                <c:pt idx="299">
                  <c:v>06-12-2019</c:v>
                </c:pt>
                <c:pt idx="300">
                  <c:v>09-12-2019</c:v>
                </c:pt>
                <c:pt idx="301">
                  <c:v>10-12-2019</c:v>
                </c:pt>
                <c:pt idx="302">
                  <c:v>11-12-2019</c:v>
                </c:pt>
                <c:pt idx="303">
                  <c:v>12-12-2019</c:v>
                </c:pt>
                <c:pt idx="304">
                  <c:v>13-12-2019</c:v>
                </c:pt>
                <c:pt idx="305">
                  <c:v>16-12-2019</c:v>
                </c:pt>
                <c:pt idx="306">
                  <c:v>17-12-2019</c:v>
                </c:pt>
                <c:pt idx="307">
                  <c:v>18-12-2019</c:v>
                </c:pt>
                <c:pt idx="308">
                  <c:v>19-12-2019</c:v>
                </c:pt>
                <c:pt idx="309">
                  <c:v>20-12-2019</c:v>
                </c:pt>
                <c:pt idx="310">
                  <c:v>23-12-2019</c:v>
                </c:pt>
                <c:pt idx="311">
                  <c:v>24-12-2019</c:v>
                </c:pt>
                <c:pt idx="312">
                  <c:v>26-12-2019</c:v>
                </c:pt>
                <c:pt idx="313">
                  <c:v>27-12-2019</c:v>
                </c:pt>
                <c:pt idx="314">
                  <c:v>30-12-2019</c:v>
                </c:pt>
                <c:pt idx="315">
                  <c:v>31-12-2019</c:v>
                </c:pt>
                <c:pt idx="316">
                  <c:v>01-01-2020</c:v>
                </c:pt>
                <c:pt idx="317">
                  <c:v>02-01-2020</c:v>
                </c:pt>
                <c:pt idx="318">
                  <c:v>03-01-2020</c:v>
                </c:pt>
                <c:pt idx="319">
                  <c:v>06-01-2020</c:v>
                </c:pt>
                <c:pt idx="320">
                  <c:v>07-01-2020</c:v>
                </c:pt>
                <c:pt idx="321">
                  <c:v>08-01-2020</c:v>
                </c:pt>
                <c:pt idx="322">
                  <c:v>09-01-2020</c:v>
                </c:pt>
                <c:pt idx="323">
                  <c:v>10-01-2020</c:v>
                </c:pt>
                <c:pt idx="324">
                  <c:v>13-01-2020</c:v>
                </c:pt>
                <c:pt idx="325">
                  <c:v>14-01-2020</c:v>
                </c:pt>
                <c:pt idx="326">
                  <c:v>15-01-2020</c:v>
                </c:pt>
                <c:pt idx="327">
                  <c:v>16-01-2020</c:v>
                </c:pt>
                <c:pt idx="328">
                  <c:v>17-01-2020</c:v>
                </c:pt>
                <c:pt idx="329">
                  <c:v>20-01-2020</c:v>
                </c:pt>
                <c:pt idx="330">
                  <c:v>21-01-2020</c:v>
                </c:pt>
                <c:pt idx="331">
                  <c:v>22-01-2020</c:v>
                </c:pt>
                <c:pt idx="332">
                  <c:v>23-01-2020</c:v>
                </c:pt>
                <c:pt idx="333">
                  <c:v>24-01-2020</c:v>
                </c:pt>
                <c:pt idx="334">
                  <c:v>27-01-2020</c:v>
                </c:pt>
                <c:pt idx="335">
                  <c:v>28-01-2020</c:v>
                </c:pt>
                <c:pt idx="336">
                  <c:v>29-01-2020</c:v>
                </c:pt>
                <c:pt idx="337">
                  <c:v>30-01-2020</c:v>
                </c:pt>
                <c:pt idx="338">
                  <c:v>31-01-2020</c:v>
                </c:pt>
                <c:pt idx="339">
                  <c:v>01-02-2020</c:v>
                </c:pt>
                <c:pt idx="340">
                  <c:v>03-02-2020</c:v>
                </c:pt>
                <c:pt idx="341">
                  <c:v>04-02-2020</c:v>
                </c:pt>
                <c:pt idx="342">
                  <c:v>05-02-2020</c:v>
                </c:pt>
                <c:pt idx="343">
                  <c:v>06-02-2020</c:v>
                </c:pt>
                <c:pt idx="344">
                  <c:v>07-02-2020</c:v>
                </c:pt>
                <c:pt idx="345">
                  <c:v>10-02-2020</c:v>
                </c:pt>
                <c:pt idx="346">
                  <c:v>11-02-2020</c:v>
                </c:pt>
                <c:pt idx="347">
                  <c:v>12-02-2020</c:v>
                </c:pt>
                <c:pt idx="348">
                  <c:v>13-02-2020</c:v>
                </c:pt>
                <c:pt idx="349">
                  <c:v>14-02-2020</c:v>
                </c:pt>
                <c:pt idx="350">
                  <c:v>17-02-2020</c:v>
                </c:pt>
                <c:pt idx="351">
                  <c:v>18-02-2020</c:v>
                </c:pt>
                <c:pt idx="352">
                  <c:v>19-02-2020</c:v>
                </c:pt>
                <c:pt idx="353">
                  <c:v>20-02-2020</c:v>
                </c:pt>
                <c:pt idx="354">
                  <c:v>24-02-2020</c:v>
                </c:pt>
                <c:pt idx="355">
                  <c:v>25-02-2020</c:v>
                </c:pt>
                <c:pt idx="356">
                  <c:v>26-02-2020</c:v>
                </c:pt>
                <c:pt idx="357">
                  <c:v>27-02-2020</c:v>
                </c:pt>
                <c:pt idx="358">
                  <c:v>28-02-2020</c:v>
                </c:pt>
                <c:pt idx="359">
                  <c:v>02-03-2020</c:v>
                </c:pt>
                <c:pt idx="360">
                  <c:v>03-03-2020</c:v>
                </c:pt>
                <c:pt idx="361">
                  <c:v>04-03-2020</c:v>
                </c:pt>
                <c:pt idx="362">
                  <c:v>05-03-2020</c:v>
                </c:pt>
                <c:pt idx="363">
                  <c:v>06-03-2020</c:v>
                </c:pt>
                <c:pt idx="364">
                  <c:v>09-03-2020</c:v>
                </c:pt>
                <c:pt idx="365">
                  <c:v>11-03-2020</c:v>
                </c:pt>
                <c:pt idx="366">
                  <c:v>12-03-2020</c:v>
                </c:pt>
                <c:pt idx="367">
                  <c:v>13-03-2020</c:v>
                </c:pt>
                <c:pt idx="368">
                  <c:v>16-03-2020</c:v>
                </c:pt>
                <c:pt idx="369">
                  <c:v>17-03-2020</c:v>
                </c:pt>
                <c:pt idx="370">
                  <c:v>18-03-2020</c:v>
                </c:pt>
                <c:pt idx="371">
                  <c:v>19-03-2020</c:v>
                </c:pt>
                <c:pt idx="372">
                  <c:v>20-03-2020</c:v>
                </c:pt>
                <c:pt idx="373">
                  <c:v>23-03-2020</c:v>
                </c:pt>
                <c:pt idx="374">
                  <c:v>24-03-2020</c:v>
                </c:pt>
                <c:pt idx="375">
                  <c:v>25-03-2020</c:v>
                </c:pt>
                <c:pt idx="376">
                  <c:v>26-03-2020</c:v>
                </c:pt>
                <c:pt idx="377">
                  <c:v>27-03-2020</c:v>
                </c:pt>
                <c:pt idx="378">
                  <c:v>30-03-2020</c:v>
                </c:pt>
                <c:pt idx="379">
                  <c:v>31-03-2020</c:v>
                </c:pt>
                <c:pt idx="380">
                  <c:v>01-04-2020</c:v>
                </c:pt>
                <c:pt idx="381">
                  <c:v>03-04-2020</c:v>
                </c:pt>
                <c:pt idx="382">
                  <c:v>07-04-2020</c:v>
                </c:pt>
                <c:pt idx="383">
                  <c:v>08-04-2020</c:v>
                </c:pt>
                <c:pt idx="384">
                  <c:v>09-04-2020</c:v>
                </c:pt>
                <c:pt idx="385">
                  <c:v>13-04-2020</c:v>
                </c:pt>
                <c:pt idx="386">
                  <c:v>15-04-2020</c:v>
                </c:pt>
                <c:pt idx="387">
                  <c:v>16-04-2020</c:v>
                </c:pt>
                <c:pt idx="388">
                  <c:v>17-04-2020</c:v>
                </c:pt>
                <c:pt idx="389">
                  <c:v>20-04-2020</c:v>
                </c:pt>
                <c:pt idx="390">
                  <c:v>21-04-2020</c:v>
                </c:pt>
                <c:pt idx="391">
                  <c:v>22-04-2020</c:v>
                </c:pt>
                <c:pt idx="392">
                  <c:v>23-04-2020</c:v>
                </c:pt>
                <c:pt idx="393">
                  <c:v>24-04-2020</c:v>
                </c:pt>
                <c:pt idx="394">
                  <c:v>27-04-2020</c:v>
                </c:pt>
                <c:pt idx="395">
                  <c:v>28-04-2020</c:v>
                </c:pt>
                <c:pt idx="396">
                  <c:v>29-04-2020</c:v>
                </c:pt>
                <c:pt idx="397">
                  <c:v>30-04-2020</c:v>
                </c:pt>
                <c:pt idx="398">
                  <c:v>04-05-2020</c:v>
                </c:pt>
                <c:pt idx="399">
                  <c:v>05-05-2020</c:v>
                </c:pt>
                <c:pt idx="400">
                  <c:v>06-05-2020</c:v>
                </c:pt>
                <c:pt idx="401">
                  <c:v>07-05-2020</c:v>
                </c:pt>
                <c:pt idx="402">
                  <c:v>08-05-2020</c:v>
                </c:pt>
                <c:pt idx="403">
                  <c:v>11-05-2020</c:v>
                </c:pt>
                <c:pt idx="404">
                  <c:v>12-05-2020</c:v>
                </c:pt>
                <c:pt idx="405">
                  <c:v>13-05-2020</c:v>
                </c:pt>
                <c:pt idx="406">
                  <c:v>14-05-2020</c:v>
                </c:pt>
                <c:pt idx="407">
                  <c:v>15-05-2020</c:v>
                </c:pt>
                <c:pt idx="408">
                  <c:v>18-05-2020</c:v>
                </c:pt>
                <c:pt idx="409">
                  <c:v>19-05-2020</c:v>
                </c:pt>
                <c:pt idx="410">
                  <c:v>20-05-2020</c:v>
                </c:pt>
                <c:pt idx="411">
                  <c:v>21-05-2020</c:v>
                </c:pt>
                <c:pt idx="412">
                  <c:v>22-05-2020</c:v>
                </c:pt>
                <c:pt idx="413">
                  <c:v>26-05-2020</c:v>
                </c:pt>
                <c:pt idx="414">
                  <c:v>27-05-2020</c:v>
                </c:pt>
                <c:pt idx="415">
                  <c:v>28-05-2020</c:v>
                </c:pt>
                <c:pt idx="416">
                  <c:v>29-05-2020</c:v>
                </c:pt>
                <c:pt idx="417">
                  <c:v>01-06-2020</c:v>
                </c:pt>
                <c:pt idx="418">
                  <c:v>02-06-2020</c:v>
                </c:pt>
                <c:pt idx="419">
                  <c:v>03-06-2020</c:v>
                </c:pt>
                <c:pt idx="420">
                  <c:v>04-06-2020</c:v>
                </c:pt>
                <c:pt idx="421">
                  <c:v>05-06-2020</c:v>
                </c:pt>
                <c:pt idx="422">
                  <c:v>08-06-2020</c:v>
                </c:pt>
                <c:pt idx="423">
                  <c:v>09-06-2020</c:v>
                </c:pt>
                <c:pt idx="424">
                  <c:v>10-06-2020</c:v>
                </c:pt>
                <c:pt idx="425">
                  <c:v>11-06-2020</c:v>
                </c:pt>
                <c:pt idx="426">
                  <c:v>12-06-2020</c:v>
                </c:pt>
                <c:pt idx="427">
                  <c:v>15-06-2020</c:v>
                </c:pt>
                <c:pt idx="428">
                  <c:v>16-06-2020</c:v>
                </c:pt>
                <c:pt idx="429">
                  <c:v>17-06-2020</c:v>
                </c:pt>
                <c:pt idx="430">
                  <c:v>18-06-2020</c:v>
                </c:pt>
                <c:pt idx="431">
                  <c:v>19-06-2020</c:v>
                </c:pt>
                <c:pt idx="432">
                  <c:v>22-06-2020</c:v>
                </c:pt>
                <c:pt idx="433">
                  <c:v>23-06-2020</c:v>
                </c:pt>
                <c:pt idx="434">
                  <c:v>24-06-2020</c:v>
                </c:pt>
                <c:pt idx="435">
                  <c:v>25-06-2020</c:v>
                </c:pt>
                <c:pt idx="436">
                  <c:v>26-06-2020</c:v>
                </c:pt>
                <c:pt idx="437">
                  <c:v>29-06-2020</c:v>
                </c:pt>
                <c:pt idx="438">
                  <c:v>30-06-2020</c:v>
                </c:pt>
                <c:pt idx="439">
                  <c:v>01-07-2020</c:v>
                </c:pt>
                <c:pt idx="440">
                  <c:v>02-07-2020</c:v>
                </c:pt>
                <c:pt idx="441">
                  <c:v>03-07-2020</c:v>
                </c:pt>
                <c:pt idx="442">
                  <c:v>06-07-2020</c:v>
                </c:pt>
                <c:pt idx="443">
                  <c:v>07-07-2020</c:v>
                </c:pt>
                <c:pt idx="444">
                  <c:v>08-07-2020</c:v>
                </c:pt>
                <c:pt idx="445">
                  <c:v>09-07-2020</c:v>
                </c:pt>
                <c:pt idx="446">
                  <c:v>10-07-2020</c:v>
                </c:pt>
                <c:pt idx="447">
                  <c:v>13-07-2020</c:v>
                </c:pt>
                <c:pt idx="448">
                  <c:v>14-07-2020</c:v>
                </c:pt>
                <c:pt idx="449">
                  <c:v>15-07-2020</c:v>
                </c:pt>
                <c:pt idx="450">
                  <c:v>16-07-2020</c:v>
                </c:pt>
                <c:pt idx="451">
                  <c:v>17-07-2020</c:v>
                </c:pt>
                <c:pt idx="452">
                  <c:v>20-07-2020</c:v>
                </c:pt>
                <c:pt idx="453">
                  <c:v>21-07-2020</c:v>
                </c:pt>
                <c:pt idx="454">
                  <c:v>22-07-2020</c:v>
                </c:pt>
                <c:pt idx="455">
                  <c:v>23-07-2020</c:v>
                </c:pt>
                <c:pt idx="456">
                  <c:v>24-07-2020</c:v>
                </c:pt>
                <c:pt idx="457">
                  <c:v>27-07-2020</c:v>
                </c:pt>
                <c:pt idx="458">
                  <c:v>28-07-2020</c:v>
                </c:pt>
                <c:pt idx="459">
                  <c:v>29-07-2020</c:v>
                </c:pt>
                <c:pt idx="460">
                  <c:v>30-07-2020</c:v>
                </c:pt>
                <c:pt idx="461">
                  <c:v>31-07-2020</c:v>
                </c:pt>
                <c:pt idx="462">
                  <c:v>03-08-2020</c:v>
                </c:pt>
                <c:pt idx="463">
                  <c:v>04-08-2020</c:v>
                </c:pt>
                <c:pt idx="464">
                  <c:v>05-08-2020</c:v>
                </c:pt>
                <c:pt idx="465">
                  <c:v>06-08-2020</c:v>
                </c:pt>
                <c:pt idx="466">
                  <c:v>07-08-2020</c:v>
                </c:pt>
                <c:pt idx="467">
                  <c:v>10-08-2020</c:v>
                </c:pt>
                <c:pt idx="468">
                  <c:v>11-08-2020</c:v>
                </c:pt>
                <c:pt idx="469">
                  <c:v>12-08-2020</c:v>
                </c:pt>
                <c:pt idx="470">
                  <c:v>13-08-2020</c:v>
                </c:pt>
                <c:pt idx="471">
                  <c:v>14-08-2020</c:v>
                </c:pt>
                <c:pt idx="472">
                  <c:v>17-08-2020</c:v>
                </c:pt>
                <c:pt idx="473">
                  <c:v>18-08-2020</c:v>
                </c:pt>
                <c:pt idx="474">
                  <c:v>19-08-2020</c:v>
                </c:pt>
                <c:pt idx="475">
                  <c:v>20-08-2020</c:v>
                </c:pt>
                <c:pt idx="476">
                  <c:v>21-08-2020</c:v>
                </c:pt>
                <c:pt idx="477">
                  <c:v>24-08-2020</c:v>
                </c:pt>
                <c:pt idx="478">
                  <c:v>25-08-2020</c:v>
                </c:pt>
                <c:pt idx="479">
                  <c:v>26-08-2020</c:v>
                </c:pt>
                <c:pt idx="480">
                  <c:v>27-08-2020</c:v>
                </c:pt>
                <c:pt idx="481">
                  <c:v>28-08-2020</c:v>
                </c:pt>
                <c:pt idx="482">
                  <c:v>31-08-2020</c:v>
                </c:pt>
                <c:pt idx="483">
                  <c:v>01-09-2020</c:v>
                </c:pt>
                <c:pt idx="484">
                  <c:v>02-09-2020</c:v>
                </c:pt>
                <c:pt idx="485">
                  <c:v>03-09-2020</c:v>
                </c:pt>
                <c:pt idx="486">
                  <c:v>04-09-2020</c:v>
                </c:pt>
                <c:pt idx="487">
                  <c:v>07-09-2020</c:v>
                </c:pt>
                <c:pt idx="488">
                  <c:v>08-09-2020</c:v>
                </c:pt>
                <c:pt idx="489">
                  <c:v>09-09-2020</c:v>
                </c:pt>
                <c:pt idx="490">
                  <c:v>10-09-2020</c:v>
                </c:pt>
                <c:pt idx="491">
                  <c:v>11-09-2020</c:v>
                </c:pt>
                <c:pt idx="492">
                  <c:v>14-09-2020</c:v>
                </c:pt>
                <c:pt idx="493">
                  <c:v>15-09-2020</c:v>
                </c:pt>
                <c:pt idx="494">
                  <c:v>16-09-2020</c:v>
                </c:pt>
                <c:pt idx="495">
                  <c:v>17-09-2020</c:v>
                </c:pt>
                <c:pt idx="496">
                  <c:v>18-09-2020</c:v>
                </c:pt>
                <c:pt idx="497">
                  <c:v>21-09-2020</c:v>
                </c:pt>
                <c:pt idx="498">
                  <c:v>22-09-2020</c:v>
                </c:pt>
                <c:pt idx="499">
                  <c:v>23-09-2020</c:v>
                </c:pt>
                <c:pt idx="500">
                  <c:v>24-09-2020</c:v>
                </c:pt>
                <c:pt idx="501">
                  <c:v>25-09-2020</c:v>
                </c:pt>
                <c:pt idx="502">
                  <c:v>28-09-2020</c:v>
                </c:pt>
                <c:pt idx="503">
                  <c:v>29-09-2020</c:v>
                </c:pt>
                <c:pt idx="504">
                  <c:v>30-09-2020</c:v>
                </c:pt>
                <c:pt idx="505">
                  <c:v>01-10-2020</c:v>
                </c:pt>
                <c:pt idx="506">
                  <c:v>05-10-2020</c:v>
                </c:pt>
                <c:pt idx="507">
                  <c:v>06-10-2020</c:v>
                </c:pt>
                <c:pt idx="508">
                  <c:v>07-10-2020</c:v>
                </c:pt>
                <c:pt idx="509">
                  <c:v>08-10-2020</c:v>
                </c:pt>
                <c:pt idx="510">
                  <c:v>09-10-2020</c:v>
                </c:pt>
                <c:pt idx="511">
                  <c:v>12-10-2020</c:v>
                </c:pt>
                <c:pt idx="512">
                  <c:v>13-10-2020</c:v>
                </c:pt>
                <c:pt idx="513">
                  <c:v>14-10-2020</c:v>
                </c:pt>
                <c:pt idx="514">
                  <c:v>15-10-2020</c:v>
                </c:pt>
                <c:pt idx="515">
                  <c:v>16-10-2020</c:v>
                </c:pt>
                <c:pt idx="516">
                  <c:v>19-10-2020</c:v>
                </c:pt>
                <c:pt idx="517">
                  <c:v>20-10-2020</c:v>
                </c:pt>
                <c:pt idx="518">
                  <c:v>21-10-2020</c:v>
                </c:pt>
                <c:pt idx="519">
                  <c:v>22-10-2020</c:v>
                </c:pt>
                <c:pt idx="520">
                  <c:v>23-10-2020</c:v>
                </c:pt>
                <c:pt idx="521">
                  <c:v>26-10-2020</c:v>
                </c:pt>
                <c:pt idx="522">
                  <c:v>27-10-2020</c:v>
                </c:pt>
                <c:pt idx="523">
                  <c:v>28-10-2020</c:v>
                </c:pt>
                <c:pt idx="524">
                  <c:v>29-10-2020</c:v>
                </c:pt>
                <c:pt idx="525">
                  <c:v>30-10-2020</c:v>
                </c:pt>
                <c:pt idx="526">
                  <c:v>02-11-2020</c:v>
                </c:pt>
                <c:pt idx="527">
                  <c:v>03-11-2020</c:v>
                </c:pt>
                <c:pt idx="528">
                  <c:v>04-11-2020</c:v>
                </c:pt>
                <c:pt idx="529">
                  <c:v>05-11-2020</c:v>
                </c:pt>
                <c:pt idx="530">
                  <c:v>06-11-2020</c:v>
                </c:pt>
                <c:pt idx="531">
                  <c:v>09-11-2020</c:v>
                </c:pt>
                <c:pt idx="532">
                  <c:v>10-11-2020</c:v>
                </c:pt>
                <c:pt idx="533">
                  <c:v>11-11-2020</c:v>
                </c:pt>
                <c:pt idx="534">
                  <c:v>12-11-2020</c:v>
                </c:pt>
                <c:pt idx="535">
                  <c:v>13-11-2020</c:v>
                </c:pt>
                <c:pt idx="536">
                  <c:v>14-11-2020</c:v>
                </c:pt>
                <c:pt idx="537">
                  <c:v>17-11-2020</c:v>
                </c:pt>
                <c:pt idx="538">
                  <c:v>18-11-2020</c:v>
                </c:pt>
                <c:pt idx="539">
                  <c:v>19-11-2020</c:v>
                </c:pt>
                <c:pt idx="540">
                  <c:v>20-11-2020</c:v>
                </c:pt>
                <c:pt idx="541">
                  <c:v>23-11-2020</c:v>
                </c:pt>
                <c:pt idx="542">
                  <c:v>24-11-2020</c:v>
                </c:pt>
                <c:pt idx="543">
                  <c:v>25-11-2020</c:v>
                </c:pt>
                <c:pt idx="544">
                  <c:v>26-11-2020</c:v>
                </c:pt>
                <c:pt idx="545">
                  <c:v>27-11-2020</c:v>
                </c:pt>
                <c:pt idx="546">
                  <c:v>01-12-2020</c:v>
                </c:pt>
                <c:pt idx="547">
                  <c:v>02-12-2020</c:v>
                </c:pt>
                <c:pt idx="548">
                  <c:v>03-12-2020</c:v>
                </c:pt>
                <c:pt idx="549">
                  <c:v>04-12-2020</c:v>
                </c:pt>
                <c:pt idx="550">
                  <c:v>07-12-2020</c:v>
                </c:pt>
                <c:pt idx="551">
                  <c:v>08-12-2020</c:v>
                </c:pt>
                <c:pt idx="552">
                  <c:v>09-12-2020</c:v>
                </c:pt>
                <c:pt idx="553">
                  <c:v>10-12-2020</c:v>
                </c:pt>
                <c:pt idx="554">
                  <c:v>11-12-2020</c:v>
                </c:pt>
                <c:pt idx="555">
                  <c:v>14-12-2020</c:v>
                </c:pt>
                <c:pt idx="556">
                  <c:v>15-12-2020</c:v>
                </c:pt>
                <c:pt idx="557">
                  <c:v>16-12-2020</c:v>
                </c:pt>
                <c:pt idx="558">
                  <c:v>17-12-2020</c:v>
                </c:pt>
                <c:pt idx="559">
                  <c:v>18-12-2020</c:v>
                </c:pt>
                <c:pt idx="560">
                  <c:v>21-12-2020</c:v>
                </c:pt>
                <c:pt idx="561">
                  <c:v>22-12-2020</c:v>
                </c:pt>
                <c:pt idx="562">
                  <c:v>23-12-2020</c:v>
                </c:pt>
                <c:pt idx="563">
                  <c:v>24-12-2020</c:v>
                </c:pt>
                <c:pt idx="564">
                  <c:v>28-12-2020</c:v>
                </c:pt>
                <c:pt idx="565">
                  <c:v>29-12-2020</c:v>
                </c:pt>
                <c:pt idx="566">
                  <c:v>30-12-2020</c:v>
                </c:pt>
                <c:pt idx="567">
                  <c:v>31-12-2020</c:v>
                </c:pt>
                <c:pt idx="568">
                  <c:v>01-01-2021</c:v>
                </c:pt>
                <c:pt idx="569">
                  <c:v>04-01-2021</c:v>
                </c:pt>
                <c:pt idx="570">
                  <c:v>05-01-2021</c:v>
                </c:pt>
                <c:pt idx="571">
                  <c:v>06-01-2021</c:v>
                </c:pt>
                <c:pt idx="572">
                  <c:v>07-01-2021</c:v>
                </c:pt>
                <c:pt idx="573">
                  <c:v>08-01-2021</c:v>
                </c:pt>
                <c:pt idx="574">
                  <c:v>11-01-2021</c:v>
                </c:pt>
                <c:pt idx="575">
                  <c:v>12-01-2021</c:v>
                </c:pt>
                <c:pt idx="576">
                  <c:v>13-01-2021</c:v>
                </c:pt>
                <c:pt idx="577">
                  <c:v>14-01-2021</c:v>
                </c:pt>
                <c:pt idx="578">
                  <c:v>15-01-2021</c:v>
                </c:pt>
                <c:pt idx="579">
                  <c:v>18-01-2021</c:v>
                </c:pt>
                <c:pt idx="580">
                  <c:v>19-01-2021</c:v>
                </c:pt>
                <c:pt idx="581">
                  <c:v>20-01-2021</c:v>
                </c:pt>
                <c:pt idx="582">
                  <c:v>21-01-2021</c:v>
                </c:pt>
                <c:pt idx="583">
                  <c:v>22-01-2021</c:v>
                </c:pt>
                <c:pt idx="584">
                  <c:v>25-01-2021</c:v>
                </c:pt>
                <c:pt idx="585">
                  <c:v>27-01-2021</c:v>
                </c:pt>
                <c:pt idx="586">
                  <c:v>28-01-2021</c:v>
                </c:pt>
                <c:pt idx="587">
                  <c:v>29-01-2021</c:v>
                </c:pt>
                <c:pt idx="588">
                  <c:v>01-02-2021</c:v>
                </c:pt>
                <c:pt idx="589">
                  <c:v>02-02-2021</c:v>
                </c:pt>
                <c:pt idx="590">
                  <c:v>03-02-2021</c:v>
                </c:pt>
                <c:pt idx="591">
                  <c:v>04-02-2021</c:v>
                </c:pt>
                <c:pt idx="592">
                  <c:v>05-02-2021</c:v>
                </c:pt>
                <c:pt idx="593">
                  <c:v>08-02-2021</c:v>
                </c:pt>
                <c:pt idx="594">
                  <c:v>09-02-2021</c:v>
                </c:pt>
                <c:pt idx="595">
                  <c:v>10-02-2021</c:v>
                </c:pt>
                <c:pt idx="596">
                  <c:v>11-02-2021</c:v>
                </c:pt>
                <c:pt idx="597">
                  <c:v>12-02-2021</c:v>
                </c:pt>
                <c:pt idx="598">
                  <c:v>15-02-2021</c:v>
                </c:pt>
                <c:pt idx="599">
                  <c:v>16-02-2021</c:v>
                </c:pt>
                <c:pt idx="600">
                  <c:v>17-02-2021</c:v>
                </c:pt>
                <c:pt idx="601">
                  <c:v>18-02-2021</c:v>
                </c:pt>
                <c:pt idx="602">
                  <c:v>19-02-2021</c:v>
                </c:pt>
                <c:pt idx="603">
                  <c:v>22-02-2021</c:v>
                </c:pt>
                <c:pt idx="604">
                  <c:v>23-02-2021</c:v>
                </c:pt>
                <c:pt idx="605">
                  <c:v>24-02-2021</c:v>
                </c:pt>
                <c:pt idx="606">
                  <c:v>25-02-2021</c:v>
                </c:pt>
                <c:pt idx="607">
                  <c:v>26-02-2021</c:v>
                </c:pt>
                <c:pt idx="608">
                  <c:v>01-03-2021</c:v>
                </c:pt>
                <c:pt idx="609">
                  <c:v>02-03-2021</c:v>
                </c:pt>
                <c:pt idx="610">
                  <c:v>03-03-2021</c:v>
                </c:pt>
                <c:pt idx="611">
                  <c:v>04-03-2021</c:v>
                </c:pt>
                <c:pt idx="612">
                  <c:v>05-03-2021</c:v>
                </c:pt>
                <c:pt idx="613">
                  <c:v>08-03-2021</c:v>
                </c:pt>
                <c:pt idx="614">
                  <c:v>09-03-2021</c:v>
                </c:pt>
                <c:pt idx="615">
                  <c:v>10-03-2021</c:v>
                </c:pt>
                <c:pt idx="616">
                  <c:v>12-03-2021</c:v>
                </c:pt>
                <c:pt idx="617">
                  <c:v>15-03-2021</c:v>
                </c:pt>
                <c:pt idx="618">
                  <c:v>16-03-2021</c:v>
                </c:pt>
                <c:pt idx="619">
                  <c:v>17-03-2021</c:v>
                </c:pt>
                <c:pt idx="620">
                  <c:v>18-03-2021</c:v>
                </c:pt>
                <c:pt idx="621">
                  <c:v>19-03-2021</c:v>
                </c:pt>
                <c:pt idx="622">
                  <c:v>22-03-2021</c:v>
                </c:pt>
                <c:pt idx="623">
                  <c:v>23-03-2021</c:v>
                </c:pt>
                <c:pt idx="624">
                  <c:v>24-03-2021</c:v>
                </c:pt>
                <c:pt idx="625">
                  <c:v>25-03-2021</c:v>
                </c:pt>
                <c:pt idx="626">
                  <c:v>26-03-2021</c:v>
                </c:pt>
                <c:pt idx="627">
                  <c:v>30-03-2021</c:v>
                </c:pt>
                <c:pt idx="628">
                  <c:v>31-03-2021</c:v>
                </c:pt>
                <c:pt idx="629">
                  <c:v>01-04-2021</c:v>
                </c:pt>
                <c:pt idx="630">
                  <c:v>05-04-2021</c:v>
                </c:pt>
                <c:pt idx="631">
                  <c:v>06-04-2021</c:v>
                </c:pt>
                <c:pt idx="632">
                  <c:v>07-04-2021</c:v>
                </c:pt>
                <c:pt idx="633">
                  <c:v>08-04-2021</c:v>
                </c:pt>
                <c:pt idx="634">
                  <c:v>09-04-2021</c:v>
                </c:pt>
                <c:pt idx="635">
                  <c:v>12-04-2021</c:v>
                </c:pt>
                <c:pt idx="636">
                  <c:v>13-04-2021</c:v>
                </c:pt>
                <c:pt idx="637">
                  <c:v>15-04-2021</c:v>
                </c:pt>
                <c:pt idx="638">
                  <c:v>16-04-2021</c:v>
                </c:pt>
                <c:pt idx="639">
                  <c:v>19-04-2021</c:v>
                </c:pt>
                <c:pt idx="640">
                  <c:v>20-04-2021</c:v>
                </c:pt>
                <c:pt idx="641">
                  <c:v>22-04-2021</c:v>
                </c:pt>
                <c:pt idx="642">
                  <c:v>23-04-2021</c:v>
                </c:pt>
                <c:pt idx="643">
                  <c:v>26-04-2021</c:v>
                </c:pt>
                <c:pt idx="644">
                  <c:v>27-04-2021</c:v>
                </c:pt>
                <c:pt idx="645">
                  <c:v>28-04-2021</c:v>
                </c:pt>
                <c:pt idx="646">
                  <c:v>29-04-2021</c:v>
                </c:pt>
                <c:pt idx="647">
                  <c:v>30-04-2021</c:v>
                </c:pt>
                <c:pt idx="648">
                  <c:v>03-05-2021</c:v>
                </c:pt>
                <c:pt idx="649">
                  <c:v>04-05-2021</c:v>
                </c:pt>
                <c:pt idx="650">
                  <c:v>05-05-2021</c:v>
                </c:pt>
                <c:pt idx="651">
                  <c:v>06-05-2021</c:v>
                </c:pt>
                <c:pt idx="652">
                  <c:v>07-05-2021</c:v>
                </c:pt>
                <c:pt idx="653">
                  <c:v>10-05-2021</c:v>
                </c:pt>
                <c:pt idx="654">
                  <c:v>11-05-2021</c:v>
                </c:pt>
                <c:pt idx="655">
                  <c:v>12-05-2021</c:v>
                </c:pt>
                <c:pt idx="656">
                  <c:v>14-05-2021</c:v>
                </c:pt>
                <c:pt idx="657">
                  <c:v>17-05-2021</c:v>
                </c:pt>
                <c:pt idx="658">
                  <c:v>18-05-2021</c:v>
                </c:pt>
                <c:pt idx="659">
                  <c:v>19-05-2021</c:v>
                </c:pt>
                <c:pt idx="660">
                  <c:v>20-05-2021</c:v>
                </c:pt>
                <c:pt idx="661">
                  <c:v>21-05-2021</c:v>
                </c:pt>
                <c:pt idx="662">
                  <c:v>24-05-2021</c:v>
                </c:pt>
                <c:pt idx="663">
                  <c:v>25-05-2021</c:v>
                </c:pt>
                <c:pt idx="664">
                  <c:v>26-05-2021</c:v>
                </c:pt>
                <c:pt idx="665">
                  <c:v>27-05-2021</c:v>
                </c:pt>
                <c:pt idx="666">
                  <c:v>28-05-2021</c:v>
                </c:pt>
                <c:pt idx="667">
                  <c:v>31-05-2021</c:v>
                </c:pt>
                <c:pt idx="668">
                  <c:v>01-06-2021</c:v>
                </c:pt>
                <c:pt idx="669">
                  <c:v>02-06-2021</c:v>
                </c:pt>
                <c:pt idx="670">
                  <c:v>03-06-2021</c:v>
                </c:pt>
                <c:pt idx="671">
                  <c:v>04-06-2021</c:v>
                </c:pt>
                <c:pt idx="672">
                  <c:v>07-06-2021</c:v>
                </c:pt>
                <c:pt idx="673">
                  <c:v>08-06-2021</c:v>
                </c:pt>
                <c:pt idx="674">
                  <c:v>09-06-2021</c:v>
                </c:pt>
                <c:pt idx="675">
                  <c:v>10-06-2021</c:v>
                </c:pt>
                <c:pt idx="676">
                  <c:v>11-06-2021</c:v>
                </c:pt>
                <c:pt idx="677">
                  <c:v>14-06-2021</c:v>
                </c:pt>
                <c:pt idx="678">
                  <c:v>15-06-2021</c:v>
                </c:pt>
                <c:pt idx="679">
                  <c:v>16-06-2021</c:v>
                </c:pt>
                <c:pt idx="680">
                  <c:v>17-06-2021</c:v>
                </c:pt>
                <c:pt idx="681">
                  <c:v>18-06-2021</c:v>
                </c:pt>
                <c:pt idx="682">
                  <c:v>21-06-2021</c:v>
                </c:pt>
                <c:pt idx="683">
                  <c:v>22-06-2021</c:v>
                </c:pt>
                <c:pt idx="684">
                  <c:v>23-06-2021</c:v>
                </c:pt>
                <c:pt idx="685">
                  <c:v>24-06-2021</c:v>
                </c:pt>
                <c:pt idx="686">
                  <c:v>25-06-2021</c:v>
                </c:pt>
                <c:pt idx="687">
                  <c:v>28-06-2021</c:v>
                </c:pt>
                <c:pt idx="688">
                  <c:v>29-06-2021</c:v>
                </c:pt>
                <c:pt idx="689">
                  <c:v>30-06-2021</c:v>
                </c:pt>
                <c:pt idx="690">
                  <c:v>01-07-2021</c:v>
                </c:pt>
                <c:pt idx="691">
                  <c:v>02-07-2021</c:v>
                </c:pt>
                <c:pt idx="692">
                  <c:v>05-07-2021</c:v>
                </c:pt>
                <c:pt idx="693">
                  <c:v>06-07-2021</c:v>
                </c:pt>
                <c:pt idx="694">
                  <c:v>07-07-2021</c:v>
                </c:pt>
                <c:pt idx="695">
                  <c:v>08-07-2021</c:v>
                </c:pt>
                <c:pt idx="696">
                  <c:v>09-07-2021</c:v>
                </c:pt>
                <c:pt idx="697">
                  <c:v>12-07-2021</c:v>
                </c:pt>
                <c:pt idx="698">
                  <c:v>13-07-2021</c:v>
                </c:pt>
                <c:pt idx="699">
                  <c:v>14-07-2021</c:v>
                </c:pt>
                <c:pt idx="700">
                  <c:v>15-07-2021</c:v>
                </c:pt>
                <c:pt idx="701">
                  <c:v>16-07-2021</c:v>
                </c:pt>
                <c:pt idx="702">
                  <c:v>19-07-2021</c:v>
                </c:pt>
                <c:pt idx="703">
                  <c:v>20-07-2021</c:v>
                </c:pt>
                <c:pt idx="704">
                  <c:v>22-07-2021</c:v>
                </c:pt>
                <c:pt idx="705">
                  <c:v>23-07-2021</c:v>
                </c:pt>
                <c:pt idx="706">
                  <c:v>26-07-2021</c:v>
                </c:pt>
                <c:pt idx="707">
                  <c:v>27-07-2021</c:v>
                </c:pt>
                <c:pt idx="708">
                  <c:v>28-07-2021</c:v>
                </c:pt>
                <c:pt idx="709">
                  <c:v>29-07-2021</c:v>
                </c:pt>
                <c:pt idx="710">
                  <c:v>30-07-2021</c:v>
                </c:pt>
                <c:pt idx="711">
                  <c:v>02-08-2021</c:v>
                </c:pt>
                <c:pt idx="712">
                  <c:v>03-08-2021</c:v>
                </c:pt>
                <c:pt idx="713">
                  <c:v>04-08-2021</c:v>
                </c:pt>
                <c:pt idx="714">
                  <c:v>05-08-2021</c:v>
                </c:pt>
                <c:pt idx="715">
                  <c:v>06-08-2021</c:v>
                </c:pt>
                <c:pt idx="716">
                  <c:v>09-08-2021</c:v>
                </c:pt>
                <c:pt idx="717">
                  <c:v>10-08-2021</c:v>
                </c:pt>
                <c:pt idx="718">
                  <c:v>11-08-2021</c:v>
                </c:pt>
                <c:pt idx="719">
                  <c:v>12-08-2021</c:v>
                </c:pt>
                <c:pt idx="720">
                  <c:v>13-08-2021</c:v>
                </c:pt>
                <c:pt idx="721">
                  <c:v>16-08-2021</c:v>
                </c:pt>
                <c:pt idx="722">
                  <c:v>17-08-2021</c:v>
                </c:pt>
                <c:pt idx="723">
                  <c:v>18-08-2021</c:v>
                </c:pt>
                <c:pt idx="724">
                  <c:v>20-08-2021</c:v>
                </c:pt>
                <c:pt idx="725">
                  <c:v>23-08-2021</c:v>
                </c:pt>
                <c:pt idx="726">
                  <c:v>24-08-2021</c:v>
                </c:pt>
                <c:pt idx="727">
                  <c:v>25-08-2021</c:v>
                </c:pt>
                <c:pt idx="728">
                  <c:v>26-08-2021</c:v>
                </c:pt>
                <c:pt idx="729">
                  <c:v>27-08-2021</c:v>
                </c:pt>
                <c:pt idx="730">
                  <c:v>30-08-2021</c:v>
                </c:pt>
                <c:pt idx="731">
                  <c:v>31-08-2021</c:v>
                </c:pt>
                <c:pt idx="732">
                  <c:v>01-09-2021</c:v>
                </c:pt>
                <c:pt idx="733">
                  <c:v>02-09-2021</c:v>
                </c:pt>
                <c:pt idx="734">
                  <c:v>03-09-2021</c:v>
                </c:pt>
                <c:pt idx="735">
                  <c:v>06-09-2021</c:v>
                </c:pt>
                <c:pt idx="736">
                  <c:v>07-09-2021</c:v>
                </c:pt>
                <c:pt idx="737">
                  <c:v>08-09-2021</c:v>
                </c:pt>
                <c:pt idx="738">
                  <c:v>09-09-2021</c:v>
                </c:pt>
                <c:pt idx="739">
                  <c:v>13-09-2021</c:v>
                </c:pt>
                <c:pt idx="740">
                  <c:v>14-09-2021</c:v>
                </c:pt>
                <c:pt idx="741">
                  <c:v>15-09-2021</c:v>
                </c:pt>
                <c:pt idx="742">
                  <c:v>16-09-2021</c:v>
                </c:pt>
                <c:pt idx="743">
                  <c:v>17-09-2021</c:v>
                </c:pt>
                <c:pt idx="744">
                  <c:v>20-09-2021</c:v>
                </c:pt>
                <c:pt idx="745">
                  <c:v>21-09-2021</c:v>
                </c:pt>
                <c:pt idx="746">
                  <c:v>22-09-2021</c:v>
                </c:pt>
                <c:pt idx="747">
                  <c:v>23-09-2021</c:v>
                </c:pt>
                <c:pt idx="748">
                  <c:v>24-09-2021</c:v>
                </c:pt>
                <c:pt idx="749">
                  <c:v>27-09-2021</c:v>
                </c:pt>
                <c:pt idx="750">
                  <c:v>28-09-2021</c:v>
                </c:pt>
                <c:pt idx="751">
                  <c:v>29-09-2021</c:v>
                </c:pt>
                <c:pt idx="752">
                  <c:v>30-09-2021</c:v>
                </c:pt>
                <c:pt idx="753">
                  <c:v>01-10-2021</c:v>
                </c:pt>
                <c:pt idx="754">
                  <c:v>04-10-2021</c:v>
                </c:pt>
                <c:pt idx="755">
                  <c:v>05-10-2021</c:v>
                </c:pt>
                <c:pt idx="756">
                  <c:v>06-10-2021</c:v>
                </c:pt>
                <c:pt idx="757">
                  <c:v>07-10-2021</c:v>
                </c:pt>
                <c:pt idx="758">
                  <c:v>08-10-2021</c:v>
                </c:pt>
                <c:pt idx="759">
                  <c:v>11-10-2021</c:v>
                </c:pt>
                <c:pt idx="760">
                  <c:v>12-10-2021</c:v>
                </c:pt>
                <c:pt idx="761">
                  <c:v>13-10-2021</c:v>
                </c:pt>
                <c:pt idx="762">
                  <c:v>14-10-2021</c:v>
                </c:pt>
                <c:pt idx="763">
                  <c:v>18-10-2021</c:v>
                </c:pt>
                <c:pt idx="764">
                  <c:v>19-10-2021</c:v>
                </c:pt>
                <c:pt idx="765">
                  <c:v>20-10-2021</c:v>
                </c:pt>
                <c:pt idx="766">
                  <c:v>21-10-2021</c:v>
                </c:pt>
                <c:pt idx="767">
                  <c:v>22-10-2021</c:v>
                </c:pt>
                <c:pt idx="768">
                  <c:v>25-10-2021</c:v>
                </c:pt>
                <c:pt idx="769">
                  <c:v>26-10-2021</c:v>
                </c:pt>
                <c:pt idx="770">
                  <c:v>27-10-2021</c:v>
                </c:pt>
                <c:pt idx="771">
                  <c:v>28-10-2021</c:v>
                </c:pt>
                <c:pt idx="772">
                  <c:v>29-10-2021</c:v>
                </c:pt>
                <c:pt idx="773">
                  <c:v>01-11-2021</c:v>
                </c:pt>
                <c:pt idx="774">
                  <c:v>02-11-2021</c:v>
                </c:pt>
                <c:pt idx="775">
                  <c:v>03-11-2021</c:v>
                </c:pt>
                <c:pt idx="776">
                  <c:v>04-11-2021</c:v>
                </c:pt>
                <c:pt idx="777">
                  <c:v>08-11-2021</c:v>
                </c:pt>
                <c:pt idx="778">
                  <c:v>09-11-2021</c:v>
                </c:pt>
                <c:pt idx="779">
                  <c:v>10-11-2021</c:v>
                </c:pt>
                <c:pt idx="780">
                  <c:v>11-11-2021</c:v>
                </c:pt>
                <c:pt idx="781">
                  <c:v>12-11-2021</c:v>
                </c:pt>
                <c:pt idx="782">
                  <c:v>15-11-2021</c:v>
                </c:pt>
                <c:pt idx="783">
                  <c:v>16-11-2021</c:v>
                </c:pt>
                <c:pt idx="784">
                  <c:v>17-11-2021</c:v>
                </c:pt>
                <c:pt idx="785">
                  <c:v>18-11-2021</c:v>
                </c:pt>
                <c:pt idx="786">
                  <c:v>22-11-2021</c:v>
                </c:pt>
                <c:pt idx="787">
                  <c:v>23-11-2021</c:v>
                </c:pt>
                <c:pt idx="788">
                  <c:v>24-11-2021</c:v>
                </c:pt>
                <c:pt idx="789">
                  <c:v>25-11-2021</c:v>
                </c:pt>
                <c:pt idx="790">
                  <c:v>26-11-2021</c:v>
                </c:pt>
                <c:pt idx="791">
                  <c:v>29-11-2021</c:v>
                </c:pt>
                <c:pt idx="792">
                  <c:v>30-11-2021</c:v>
                </c:pt>
                <c:pt idx="793">
                  <c:v>01-12-2021</c:v>
                </c:pt>
                <c:pt idx="794">
                  <c:v>02-12-2021</c:v>
                </c:pt>
                <c:pt idx="795">
                  <c:v>03-12-2021</c:v>
                </c:pt>
                <c:pt idx="796">
                  <c:v>06-12-2021</c:v>
                </c:pt>
                <c:pt idx="797">
                  <c:v>07-12-2021</c:v>
                </c:pt>
                <c:pt idx="798">
                  <c:v>08-12-2021</c:v>
                </c:pt>
                <c:pt idx="799">
                  <c:v>09-12-2021</c:v>
                </c:pt>
                <c:pt idx="800">
                  <c:v>10-12-2021</c:v>
                </c:pt>
                <c:pt idx="801">
                  <c:v>13-12-2021</c:v>
                </c:pt>
                <c:pt idx="802">
                  <c:v>14-12-2021</c:v>
                </c:pt>
                <c:pt idx="803">
                  <c:v>15-12-2021</c:v>
                </c:pt>
                <c:pt idx="804">
                  <c:v>16-12-2021</c:v>
                </c:pt>
                <c:pt idx="805">
                  <c:v>17-12-2021</c:v>
                </c:pt>
                <c:pt idx="806">
                  <c:v>20-12-2021</c:v>
                </c:pt>
                <c:pt idx="807">
                  <c:v>21-12-2021</c:v>
                </c:pt>
                <c:pt idx="808">
                  <c:v>22-12-2021</c:v>
                </c:pt>
                <c:pt idx="809">
                  <c:v>23-12-2021</c:v>
                </c:pt>
                <c:pt idx="810">
                  <c:v>24-12-2021</c:v>
                </c:pt>
                <c:pt idx="811">
                  <c:v>27-12-2021</c:v>
                </c:pt>
                <c:pt idx="812">
                  <c:v>28-12-2021</c:v>
                </c:pt>
                <c:pt idx="813">
                  <c:v>29-12-2021</c:v>
                </c:pt>
                <c:pt idx="814">
                  <c:v>30-12-2021</c:v>
                </c:pt>
                <c:pt idx="815">
                  <c:v>31-12-2021</c:v>
                </c:pt>
                <c:pt idx="816">
                  <c:v>03-01-2022</c:v>
                </c:pt>
                <c:pt idx="817">
                  <c:v>04-01-2022</c:v>
                </c:pt>
                <c:pt idx="818">
                  <c:v>05-01-2022</c:v>
                </c:pt>
                <c:pt idx="819">
                  <c:v>06-01-2022</c:v>
                </c:pt>
                <c:pt idx="820">
                  <c:v>07-01-2022</c:v>
                </c:pt>
                <c:pt idx="821">
                  <c:v>10-01-2022</c:v>
                </c:pt>
                <c:pt idx="822">
                  <c:v>11-01-2022</c:v>
                </c:pt>
                <c:pt idx="823">
                  <c:v>12-01-2022</c:v>
                </c:pt>
                <c:pt idx="824">
                  <c:v>13-01-2022</c:v>
                </c:pt>
                <c:pt idx="825">
                  <c:v>14-01-2022</c:v>
                </c:pt>
                <c:pt idx="826">
                  <c:v>17-01-2022</c:v>
                </c:pt>
                <c:pt idx="827">
                  <c:v>18-01-2022</c:v>
                </c:pt>
                <c:pt idx="828">
                  <c:v>19-01-2022</c:v>
                </c:pt>
                <c:pt idx="829">
                  <c:v>20-01-2022</c:v>
                </c:pt>
                <c:pt idx="830">
                  <c:v>21-01-2022</c:v>
                </c:pt>
                <c:pt idx="831">
                  <c:v>24-01-2022</c:v>
                </c:pt>
                <c:pt idx="832">
                  <c:v>25-01-2022</c:v>
                </c:pt>
                <c:pt idx="833">
                  <c:v>27-01-2022</c:v>
                </c:pt>
                <c:pt idx="834">
                  <c:v>28-01-2022</c:v>
                </c:pt>
                <c:pt idx="835">
                  <c:v>31-01-2022</c:v>
                </c:pt>
                <c:pt idx="836">
                  <c:v>01-02-2022</c:v>
                </c:pt>
                <c:pt idx="837">
                  <c:v>02-02-2022</c:v>
                </c:pt>
                <c:pt idx="838">
                  <c:v>03-02-2022</c:v>
                </c:pt>
                <c:pt idx="839">
                  <c:v>04-02-2022</c:v>
                </c:pt>
                <c:pt idx="840">
                  <c:v>07-02-2022</c:v>
                </c:pt>
                <c:pt idx="841">
                  <c:v>08-02-2022</c:v>
                </c:pt>
                <c:pt idx="842">
                  <c:v>09-02-2022</c:v>
                </c:pt>
                <c:pt idx="843">
                  <c:v>10-02-2022</c:v>
                </c:pt>
                <c:pt idx="844">
                  <c:v>11-02-2022</c:v>
                </c:pt>
                <c:pt idx="845">
                  <c:v>14-02-2022</c:v>
                </c:pt>
                <c:pt idx="846">
                  <c:v>15-02-2022</c:v>
                </c:pt>
                <c:pt idx="847">
                  <c:v>16-02-2022</c:v>
                </c:pt>
                <c:pt idx="848">
                  <c:v>17-02-2022</c:v>
                </c:pt>
                <c:pt idx="849">
                  <c:v>18-02-2022</c:v>
                </c:pt>
                <c:pt idx="850">
                  <c:v>21-02-2022</c:v>
                </c:pt>
                <c:pt idx="851">
                  <c:v>22-02-2022</c:v>
                </c:pt>
                <c:pt idx="852">
                  <c:v>23-02-2022</c:v>
                </c:pt>
                <c:pt idx="853">
                  <c:v>24-02-2022</c:v>
                </c:pt>
                <c:pt idx="854">
                  <c:v>25-02-2022</c:v>
                </c:pt>
                <c:pt idx="855">
                  <c:v>28-02-2022</c:v>
                </c:pt>
                <c:pt idx="856">
                  <c:v>02-03-2022</c:v>
                </c:pt>
                <c:pt idx="857">
                  <c:v>03-03-2022</c:v>
                </c:pt>
                <c:pt idx="858">
                  <c:v>04-03-2022</c:v>
                </c:pt>
                <c:pt idx="859">
                  <c:v>07-03-2022</c:v>
                </c:pt>
                <c:pt idx="860">
                  <c:v>08-03-2022</c:v>
                </c:pt>
                <c:pt idx="861">
                  <c:v>09-03-2022</c:v>
                </c:pt>
                <c:pt idx="862">
                  <c:v>10-03-2022</c:v>
                </c:pt>
                <c:pt idx="863">
                  <c:v>11-03-2022</c:v>
                </c:pt>
                <c:pt idx="864">
                  <c:v>14-03-2022</c:v>
                </c:pt>
                <c:pt idx="865">
                  <c:v>15-03-2022</c:v>
                </c:pt>
                <c:pt idx="866">
                  <c:v>16-03-2022</c:v>
                </c:pt>
                <c:pt idx="867">
                  <c:v>17-03-2022</c:v>
                </c:pt>
                <c:pt idx="868">
                  <c:v>21-03-2022</c:v>
                </c:pt>
                <c:pt idx="869">
                  <c:v>22-03-2022</c:v>
                </c:pt>
                <c:pt idx="870">
                  <c:v>23-03-2022</c:v>
                </c:pt>
                <c:pt idx="871">
                  <c:v>24-03-2022</c:v>
                </c:pt>
                <c:pt idx="872">
                  <c:v>25-03-2022</c:v>
                </c:pt>
                <c:pt idx="873">
                  <c:v>28-03-2022</c:v>
                </c:pt>
                <c:pt idx="874">
                  <c:v>29-03-2022</c:v>
                </c:pt>
                <c:pt idx="875">
                  <c:v>30-03-2022</c:v>
                </c:pt>
                <c:pt idx="876">
                  <c:v>31-03-2022</c:v>
                </c:pt>
                <c:pt idx="877">
                  <c:v>01-04-2022</c:v>
                </c:pt>
                <c:pt idx="878">
                  <c:v>04-04-2022</c:v>
                </c:pt>
                <c:pt idx="879">
                  <c:v>05-04-2022</c:v>
                </c:pt>
                <c:pt idx="880">
                  <c:v>06-04-2022</c:v>
                </c:pt>
                <c:pt idx="881">
                  <c:v>07-04-2022</c:v>
                </c:pt>
                <c:pt idx="882">
                  <c:v>08-04-2022</c:v>
                </c:pt>
                <c:pt idx="883">
                  <c:v>11-04-2022</c:v>
                </c:pt>
                <c:pt idx="884">
                  <c:v>12-04-2022</c:v>
                </c:pt>
                <c:pt idx="885">
                  <c:v>13-04-2022</c:v>
                </c:pt>
                <c:pt idx="886">
                  <c:v>18-04-2022</c:v>
                </c:pt>
                <c:pt idx="887">
                  <c:v>19-04-2022</c:v>
                </c:pt>
                <c:pt idx="888">
                  <c:v>20-04-2022</c:v>
                </c:pt>
                <c:pt idx="889">
                  <c:v>21-04-2022</c:v>
                </c:pt>
                <c:pt idx="890">
                  <c:v>22-04-2022</c:v>
                </c:pt>
                <c:pt idx="891">
                  <c:v>25-04-2022</c:v>
                </c:pt>
                <c:pt idx="892">
                  <c:v>26-04-2022</c:v>
                </c:pt>
                <c:pt idx="893">
                  <c:v>27-04-2022</c:v>
                </c:pt>
                <c:pt idx="894">
                  <c:v>28-04-2022</c:v>
                </c:pt>
                <c:pt idx="895">
                  <c:v>29-04-2022</c:v>
                </c:pt>
                <c:pt idx="896">
                  <c:v>02-05-2022</c:v>
                </c:pt>
                <c:pt idx="897">
                  <c:v>04-05-2022</c:v>
                </c:pt>
                <c:pt idx="898">
                  <c:v>05-05-2022</c:v>
                </c:pt>
                <c:pt idx="899">
                  <c:v>06-05-2022</c:v>
                </c:pt>
                <c:pt idx="900">
                  <c:v>09-05-2022</c:v>
                </c:pt>
                <c:pt idx="901">
                  <c:v>10-05-2022</c:v>
                </c:pt>
                <c:pt idx="902">
                  <c:v>11-05-2022</c:v>
                </c:pt>
                <c:pt idx="903">
                  <c:v>12-05-2022</c:v>
                </c:pt>
                <c:pt idx="904">
                  <c:v>13-05-2022</c:v>
                </c:pt>
                <c:pt idx="905">
                  <c:v>16-05-2022</c:v>
                </c:pt>
                <c:pt idx="906">
                  <c:v>17-05-2022</c:v>
                </c:pt>
                <c:pt idx="907">
                  <c:v>18-05-2022</c:v>
                </c:pt>
                <c:pt idx="908">
                  <c:v>19-05-2022</c:v>
                </c:pt>
                <c:pt idx="909">
                  <c:v>20-05-2022</c:v>
                </c:pt>
                <c:pt idx="910">
                  <c:v>23-05-2022</c:v>
                </c:pt>
                <c:pt idx="911">
                  <c:v>24-05-2022</c:v>
                </c:pt>
                <c:pt idx="912">
                  <c:v>25-05-2022</c:v>
                </c:pt>
                <c:pt idx="913">
                  <c:v>26-05-2022</c:v>
                </c:pt>
                <c:pt idx="914">
                  <c:v>27-05-2022</c:v>
                </c:pt>
                <c:pt idx="915">
                  <c:v>30-05-2022</c:v>
                </c:pt>
                <c:pt idx="916">
                  <c:v>31-05-2022</c:v>
                </c:pt>
                <c:pt idx="917">
                  <c:v>01-06-2022</c:v>
                </c:pt>
                <c:pt idx="918">
                  <c:v>02-06-2022</c:v>
                </c:pt>
                <c:pt idx="919">
                  <c:v>03-06-2022</c:v>
                </c:pt>
                <c:pt idx="920">
                  <c:v>06-06-2022</c:v>
                </c:pt>
                <c:pt idx="921">
                  <c:v>07-06-2022</c:v>
                </c:pt>
                <c:pt idx="922">
                  <c:v>08-06-2022</c:v>
                </c:pt>
                <c:pt idx="923">
                  <c:v>09-06-2022</c:v>
                </c:pt>
                <c:pt idx="924">
                  <c:v>10-06-2022</c:v>
                </c:pt>
                <c:pt idx="925">
                  <c:v>13-06-2022</c:v>
                </c:pt>
                <c:pt idx="926">
                  <c:v>14-06-2022</c:v>
                </c:pt>
                <c:pt idx="927">
                  <c:v>15-06-2022</c:v>
                </c:pt>
                <c:pt idx="928">
                  <c:v>16-06-2022</c:v>
                </c:pt>
                <c:pt idx="929">
                  <c:v>17-06-2022</c:v>
                </c:pt>
                <c:pt idx="930">
                  <c:v>20-06-2022</c:v>
                </c:pt>
                <c:pt idx="931">
                  <c:v>21-06-2022</c:v>
                </c:pt>
                <c:pt idx="932">
                  <c:v>22-06-2022</c:v>
                </c:pt>
                <c:pt idx="933">
                  <c:v>23-06-2022</c:v>
                </c:pt>
                <c:pt idx="934">
                  <c:v>24-06-2022</c:v>
                </c:pt>
                <c:pt idx="935">
                  <c:v>27-06-2022</c:v>
                </c:pt>
                <c:pt idx="936">
                  <c:v>28-06-2022</c:v>
                </c:pt>
                <c:pt idx="937">
                  <c:v>29-06-2022</c:v>
                </c:pt>
                <c:pt idx="938">
                  <c:v>30-06-2022</c:v>
                </c:pt>
                <c:pt idx="939">
                  <c:v>01-07-2022</c:v>
                </c:pt>
                <c:pt idx="940">
                  <c:v>04-07-2022</c:v>
                </c:pt>
                <c:pt idx="941">
                  <c:v>05-07-2022</c:v>
                </c:pt>
                <c:pt idx="942">
                  <c:v>06-07-2022</c:v>
                </c:pt>
                <c:pt idx="943">
                  <c:v>07-07-2022</c:v>
                </c:pt>
                <c:pt idx="944">
                  <c:v>08-07-2022</c:v>
                </c:pt>
                <c:pt idx="945">
                  <c:v>11-07-2022</c:v>
                </c:pt>
                <c:pt idx="946">
                  <c:v>12-07-2022</c:v>
                </c:pt>
                <c:pt idx="947">
                  <c:v>13-07-2022</c:v>
                </c:pt>
                <c:pt idx="948">
                  <c:v>14-07-2022</c:v>
                </c:pt>
                <c:pt idx="949">
                  <c:v>15-07-2022</c:v>
                </c:pt>
                <c:pt idx="950">
                  <c:v>18-07-2022</c:v>
                </c:pt>
                <c:pt idx="951">
                  <c:v>19-07-2022</c:v>
                </c:pt>
                <c:pt idx="952">
                  <c:v>20-07-2022</c:v>
                </c:pt>
                <c:pt idx="953">
                  <c:v>21-07-2022</c:v>
                </c:pt>
                <c:pt idx="954">
                  <c:v>22-07-2022</c:v>
                </c:pt>
                <c:pt idx="955">
                  <c:v>25-07-2022</c:v>
                </c:pt>
                <c:pt idx="956">
                  <c:v>26-07-2022</c:v>
                </c:pt>
                <c:pt idx="957">
                  <c:v>27-07-2022</c:v>
                </c:pt>
                <c:pt idx="958">
                  <c:v>28-07-2022</c:v>
                </c:pt>
                <c:pt idx="959">
                  <c:v>29-07-2022</c:v>
                </c:pt>
                <c:pt idx="960">
                  <c:v>01-08-2022</c:v>
                </c:pt>
                <c:pt idx="961">
                  <c:v>02-08-2022</c:v>
                </c:pt>
                <c:pt idx="962">
                  <c:v>03-08-2022</c:v>
                </c:pt>
                <c:pt idx="963">
                  <c:v>04-08-2022</c:v>
                </c:pt>
                <c:pt idx="964">
                  <c:v>05-08-2022</c:v>
                </c:pt>
                <c:pt idx="965">
                  <c:v>08-08-2022</c:v>
                </c:pt>
                <c:pt idx="966">
                  <c:v>10-08-2022</c:v>
                </c:pt>
                <c:pt idx="967">
                  <c:v>11-08-2022</c:v>
                </c:pt>
                <c:pt idx="968">
                  <c:v>12-08-2022</c:v>
                </c:pt>
                <c:pt idx="969">
                  <c:v>16-08-2022</c:v>
                </c:pt>
                <c:pt idx="970">
                  <c:v>17-08-2022</c:v>
                </c:pt>
                <c:pt idx="971">
                  <c:v>18-08-2022</c:v>
                </c:pt>
                <c:pt idx="972">
                  <c:v>19-08-2022</c:v>
                </c:pt>
                <c:pt idx="973">
                  <c:v>22-08-2022</c:v>
                </c:pt>
                <c:pt idx="974">
                  <c:v>23-08-2022</c:v>
                </c:pt>
                <c:pt idx="975">
                  <c:v>24-08-2022</c:v>
                </c:pt>
                <c:pt idx="976">
                  <c:v>25-08-2022</c:v>
                </c:pt>
                <c:pt idx="977">
                  <c:v>26-08-2022</c:v>
                </c:pt>
                <c:pt idx="978">
                  <c:v>29-08-2022</c:v>
                </c:pt>
                <c:pt idx="979">
                  <c:v>30-08-2022</c:v>
                </c:pt>
                <c:pt idx="980">
                  <c:v>01-09-2022</c:v>
                </c:pt>
                <c:pt idx="981">
                  <c:v>02-09-2022</c:v>
                </c:pt>
                <c:pt idx="982">
                  <c:v>05-09-2022</c:v>
                </c:pt>
                <c:pt idx="983">
                  <c:v>06-09-2022</c:v>
                </c:pt>
                <c:pt idx="984">
                  <c:v>07-09-2022</c:v>
                </c:pt>
                <c:pt idx="985">
                  <c:v>08-09-2022</c:v>
                </c:pt>
                <c:pt idx="986">
                  <c:v>09-09-2022</c:v>
                </c:pt>
                <c:pt idx="987">
                  <c:v>12-09-2022</c:v>
                </c:pt>
                <c:pt idx="988">
                  <c:v>13-09-2022</c:v>
                </c:pt>
                <c:pt idx="989">
                  <c:v>14-09-2022</c:v>
                </c:pt>
                <c:pt idx="990">
                  <c:v>15-09-2022</c:v>
                </c:pt>
                <c:pt idx="991">
                  <c:v>16-09-2022</c:v>
                </c:pt>
                <c:pt idx="992">
                  <c:v>19-09-2022</c:v>
                </c:pt>
                <c:pt idx="993">
                  <c:v>20-09-2022</c:v>
                </c:pt>
                <c:pt idx="994">
                  <c:v>21-09-2022</c:v>
                </c:pt>
                <c:pt idx="995">
                  <c:v>22-09-2022</c:v>
                </c:pt>
                <c:pt idx="996">
                  <c:v>23-09-2022</c:v>
                </c:pt>
                <c:pt idx="997">
                  <c:v>26-09-2022</c:v>
                </c:pt>
                <c:pt idx="998">
                  <c:v>27-09-2022</c:v>
                </c:pt>
                <c:pt idx="999">
                  <c:v>28-09-2022</c:v>
                </c:pt>
                <c:pt idx="1000">
                  <c:v>29-09-2022</c:v>
                </c:pt>
                <c:pt idx="1001">
                  <c:v>30-09-2022</c:v>
                </c:pt>
                <c:pt idx="1002">
                  <c:v>03-10-2022</c:v>
                </c:pt>
                <c:pt idx="1003">
                  <c:v>04-10-2022</c:v>
                </c:pt>
                <c:pt idx="1004">
                  <c:v>06-10-2022</c:v>
                </c:pt>
                <c:pt idx="1005">
                  <c:v>07-10-2022</c:v>
                </c:pt>
                <c:pt idx="1006">
                  <c:v>10-10-2022</c:v>
                </c:pt>
                <c:pt idx="1007">
                  <c:v>11-10-2022</c:v>
                </c:pt>
                <c:pt idx="1008">
                  <c:v>12-10-2022</c:v>
                </c:pt>
                <c:pt idx="1009">
                  <c:v>13-10-2022</c:v>
                </c:pt>
                <c:pt idx="1010">
                  <c:v>14-10-2022</c:v>
                </c:pt>
                <c:pt idx="1011">
                  <c:v>17-10-2022</c:v>
                </c:pt>
                <c:pt idx="1012">
                  <c:v>18-10-2022</c:v>
                </c:pt>
                <c:pt idx="1013">
                  <c:v>19-10-2022</c:v>
                </c:pt>
                <c:pt idx="1014">
                  <c:v>20-10-2022</c:v>
                </c:pt>
                <c:pt idx="1015">
                  <c:v>21-10-2022</c:v>
                </c:pt>
                <c:pt idx="1016">
                  <c:v>24-10-2022</c:v>
                </c:pt>
                <c:pt idx="1017">
                  <c:v>25-10-2022</c:v>
                </c:pt>
                <c:pt idx="1018">
                  <c:v>27-10-2022</c:v>
                </c:pt>
                <c:pt idx="1019">
                  <c:v>28-10-2022</c:v>
                </c:pt>
                <c:pt idx="1020">
                  <c:v>31-10-2022</c:v>
                </c:pt>
                <c:pt idx="1021">
                  <c:v>01-11-2022</c:v>
                </c:pt>
                <c:pt idx="1022">
                  <c:v>02-11-2022</c:v>
                </c:pt>
                <c:pt idx="1023">
                  <c:v>03-11-2022</c:v>
                </c:pt>
                <c:pt idx="1024">
                  <c:v>04-11-2022</c:v>
                </c:pt>
                <c:pt idx="1025">
                  <c:v>07-11-2022</c:v>
                </c:pt>
                <c:pt idx="1026">
                  <c:v>09-11-2022</c:v>
                </c:pt>
                <c:pt idx="1027">
                  <c:v>10-11-2022</c:v>
                </c:pt>
                <c:pt idx="1028">
                  <c:v>11-11-2022</c:v>
                </c:pt>
                <c:pt idx="1029">
                  <c:v>14-11-2022</c:v>
                </c:pt>
                <c:pt idx="1030">
                  <c:v>15-11-2022</c:v>
                </c:pt>
                <c:pt idx="1031">
                  <c:v>16-11-2022</c:v>
                </c:pt>
                <c:pt idx="1032">
                  <c:v>17-11-2022</c:v>
                </c:pt>
                <c:pt idx="1033">
                  <c:v>18-11-2022</c:v>
                </c:pt>
                <c:pt idx="1034">
                  <c:v>21-11-2022</c:v>
                </c:pt>
                <c:pt idx="1035">
                  <c:v>22-11-2022</c:v>
                </c:pt>
                <c:pt idx="1036">
                  <c:v>23-11-2022</c:v>
                </c:pt>
                <c:pt idx="1037">
                  <c:v>24-11-2022</c:v>
                </c:pt>
                <c:pt idx="1038">
                  <c:v>25-11-2022</c:v>
                </c:pt>
                <c:pt idx="1039">
                  <c:v>28-11-2022</c:v>
                </c:pt>
                <c:pt idx="1040">
                  <c:v>29-11-2022</c:v>
                </c:pt>
                <c:pt idx="1041">
                  <c:v>30-11-2022</c:v>
                </c:pt>
                <c:pt idx="1042">
                  <c:v>01-12-2022</c:v>
                </c:pt>
                <c:pt idx="1043">
                  <c:v>02-12-2022</c:v>
                </c:pt>
                <c:pt idx="1044">
                  <c:v>05-12-2022</c:v>
                </c:pt>
                <c:pt idx="1045">
                  <c:v>06-12-2022</c:v>
                </c:pt>
                <c:pt idx="1046">
                  <c:v>07-12-2022</c:v>
                </c:pt>
                <c:pt idx="1047">
                  <c:v>08-12-2022</c:v>
                </c:pt>
                <c:pt idx="1048">
                  <c:v>09-12-2022</c:v>
                </c:pt>
                <c:pt idx="1049">
                  <c:v>12-12-2022</c:v>
                </c:pt>
                <c:pt idx="1050">
                  <c:v>13-12-2022</c:v>
                </c:pt>
                <c:pt idx="1051">
                  <c:v>14-12-2022</c:v>
                </c:pt>
                <c:pt idx="1052">
                  <c:v>15-12-2022</c:v>
                </c:pt>
                <c:pt idx="1053">
                  <c:v>16-12-2022</c:v>
                </c:pt>
                <c:pt idx="1054">
                  <c:v>19-12-2022</c:v>
                </c:pt>
                <c:pt idx="1055">
                  <c:v>20-12-2022</c:v>
                </c:pt>
                <c:pt idx="1056">
                  <c:v>21-12-2022</c:v>
                </c:pt>
                <c:pt idx="1057">
                  <c:v>22-12-2022</c:v>
                </c:pt>
                <c:pt idx="1058">
                  <c:v>23-12-2022</c:v>
                </c:pt>
                <c:pt idx="1059">
                  <c:v>26-12-2022</c:v>
                </c:pt>
                <c:pt idx="1060">
                  <c:v>27-12-2022</c:v>
                </c:pt>
                <c:pt idx="1061">
                  <c:v>28-12-2022</c:v>
                </c:pt>
                <c:pt idx="1062">
                  <c:v>29-12-2022</c:v>
                </c:pt>
                <c:pt idx="1063">
                  <c:v>30-12-2022</c:v>
                </c:pt>
                <c:pt idx="1064">
                  <c:v>02-01-2023</c:v>
                </c:pt>
                <c:pt idx="1065">
                  <c:v>03-01-2023</c:v>
                </c:pt>
                <c:pt idx="1066">
                  <c:v>04-01-2023</c:v>
                </c:pt>
                <c:pt idx="1067">
                  <c:v>05-01-2023</c:v>
                </c:pt>
                <c:pt idx="1068">
                  <c:v>06-01-2023</c:v>
                </c:pt>
                <c:pt idx="1069">
                  <c:v>09-01-2023</c:v>
                </c:pt>
                <c:pt idx="1070">
                  <c:v>10-01-2023</c:v>
                </c:pt>
                <c:pt idx="1071">
                  <c:v>11-01-2023</c:v>
                </c:pt>
                <c:pt idx="1072">
                  <c:v>12-01-2023</c:v>
                </c:pt>
                <c:pt idx="1073">
                  <c:v>13-01-2023</c:v>
                </c:pt>
                <c:pt idx="1074">
                  <c:v>16-01-2023</c:v>
                </c:pt>
                <c:pt idx="1075">
                  <c:v>17-01-2023</c:v>
                </c:pt>
                <c:pt idx="1076">
                  <c:v>18-01-2023</c:v>
                </c:pt>
                <c:pt idx="1077">
                  <c:v>19-01-2023</c:v>
                </c:pt>
                <c:pt idx="1078">
                  <c:v>20-01-2023</c:v>
                </c:pt>
                <c:pt idx="1079">
                  <c:v>23-01-2023</c:v>
                </c:pt>
                <c:pt idx="1080">
                  <c:v>24-01-2023</c:v>
                </c:pt>
                <c:pt idx="1081">
                  <c:v>25-01-2023</c:v>
                </c:pt>
                <c:pt idx="1082">
                  <c:v>27-01-2023</c:v>
                </c:pt>
                <c:pt idx="1083">
                  <c:v>30-01-2023</c:v>
                </c:pt>
                <c:pt idx="1084">
                  <c:v>31-01-2023</c:v>
                </c:pt>
                <c:pt idx="1085">
                  <c:v>01-02-2023</c:v>
                </c:pt>
                <c:pt idx="1086">
                  <c:v>02-02-2023</c:v>
                </c:pt>
                <c:pt idx="1087">
                  <c:v>03-02-2023</c:v>
                </c:pt>
                <c:pt idx="1088">
                  <c:v>06-02-2023</c:v>
                </c:pt>
                <c:pt idx="1089">
                  <c:v>07-02-2023</c:v>
                </c:pt>
                <c:pt idx="1090">
                  <c:v>08-02-2023</c:v>
                </c:pt>
                <c:pt idx="1091">
                  <c:v>09-02-2023</c:v>
                </c:pt>
                <c:pt idx="1092">
                  <c:v>10-02-2023</c:v>
                </c:pt>
                <c:pt idx="1093">
                  <c:v>13-02-2023</c:v>
                </c:pt>
                <c:pt idx="1094">
                  <c:v>14-02-2023</c:v>
                </c:pt>
                <c:pt idx="1095">
                  <c:v>15-02-2023</c:v>
                </c:pt>
                <c:pt idx="1096">
                  <c:v>16-02-2023</c:v>
                </c:pt>
                <c:pt idx="1097">
                  <c:v>17-02-2023</c:v>
                </c:pt>
                <c:pt idx="1098">
                  <c:v>20-02-2023</c:v>
                </c:pt>
                <c:pt idx="1099">
                  <c:v>21-02-2023</c:v>
                </c:pt>
                <c:pt idx="1100">
                  <c:v>22-02-2023</c:v>
                </c:pt>
                <c:pt idx="1101">
                  <c:v>23-02-2023</c:v>
                </c:pt>
                <c:pt idx="1102">
                  <c:v>24-02-2023</c:v>
                </c:pt>
                <c:pt idx="1103">
                  <c:v>27-02-2023</c:v>
                </c:pt>
                <c:pt idx="1104">
                  <c:v>28-02-2023</c:v>
                </c:pt>
                <c:pt idx="1105">
                  <c:v>01-03-2023</c:v>
                </c:pt>
                <c:pt idx="1106">
                  <c:v>02-03-2023</c:v>
                </c:pt>
                <c:pt idx="1107">
                  <c:v>03-03-2023</c:v>
                </c:pt>
                <c:pt idx="1108">
                  <c:v>06-03-2023</c:v>
                </c:pt>
                <c:pt idx="1109">
                  <c:v>08-03-2023</c:v>
                </c:pt>
                <c:pt idx="1110">
                  <c:v>09-03-2023</c:v>
                </c:pt>
                <c:pt idx="1111">
                  <c:v>10-03-2023</c:v>
                </c:pt>
                <c:pt idx="1112">
                  <c:v>13-03-2023</c:v>
                </c:pt>
                <c:pt idx="1113">
                  <c:v>14-03-2023</c:v>
                </c:pt>
                <c:pt idx="1114">
                  <c:v>15-03-2023</c:v>
                </c:pt>
                <c:pt idx="1115">
                  <c:v>16-03-2023</c:v>
                </c:pt>
                <c:pt idx="1116">
                  <c:v>17-03-2023</c:v>
                </c:pt>
                <c:pt idx="1117">
                  <c:v>20-03-2023</c:v>
                </c:pt>
                <c:pt idx="1118">
                  <c:v>21-03-2023</c:v>
                </c:pt>
                <c:pt idx="1119">
                  <c:v>22-03-2023</c:v>
                </c:pt>
                <c:pt idx="1120">
                  <c:v>23-03-2023</c:v>
                </c:pt>
                <c:pt idx="1121">
                  <c:v>24-03-2023</c:v>
                </c:pt>
                <c:pt idx="1122">
                  <c:v>27-03-2023</c:v>
                </c:pt>
                <c:pt idx="1123">
                  <c:v>28-03-2023</c:v>
                </c:pt>
                <c:pt idx="1124">
                  <c:v>29-03-2023</c:v>
                </c:pt>
                <c:pt idx="1125">
                  <c:v>31-03-2023</c:v>
                </c:pt>
                <c:pt idx="1126">
                  <c:v>03-04-2023</c:v>
                </c:pt>
                <c:pt idx="1127">
                  <c:v>05-04-2023</c:v>
                </c:pt>
                <c:pt idx="1128">
                  <c:v>06-04-2023</c:v>
                </c:pt>
                <c:pt idx="1129">
                  <c:v>10-04-2023</c:v>
                </c:pt>
                <c:pt idx="1130">
                  <c:v>11-04-2023</c:v>
                </c:pt>
                <c:pt idx="1131">
                  <c:v>12-04-2023</c:v>
                </c:pt>
                <c:pt idx="1132">
                  <c:v>13-04-2023</c:v>
                </c:pt>
                <c:pt idx="1133">
                  <c:v>17-04-2023</c:v>
                </c:pt>
                <c:pt idx="1134">
                  <c:v>18-04-2023</c:v>
                </c:pt>
                <c:pt idx="1135">
                  <c:v>19-04-2023</c:v>
                </c:pt>
                <c:pt idx="1136">
                  <c:v>20-04-2023</c:v>
                </c:pt>
                <c:pt idx="1137">
                  <c:v>21-04-2023</c:v>
                </c:pt>
                <c:pt idx="1138">
                  <c:v>24-04-2023</c:v>
                </c:pt>
                <c:pt idx="1139">
                  <c:v>25-04-2023</c:v>
                </c:pt>
                <c:pt idx="1140">
                  <c:v>26-04-2023</c:v>
                </c:pt>
                <c:pt idx="1141">
                  <c:v>27-04-2023</c:v>
                </c:pt>
                <c:pt idx="1142">
                  <c:v>28-04-2023</c:v>
                </c:pt>
                <c:pt idx="1143">
                  <c:v>02-05-2023</c:v>
                </c:pt>
                <c:pt idx="1144">
                  <c:v>03-05-2023</c:v>
                </c:pt>
                <c:pt idx="1145">
                  <c:v>04-05-2023</c:v>
                </c:pt>
                <c:pt idx="1146">
                  <c:v>05-05-2023</c:v>
                </c:pt>
                <c:pt idx="1147">
                  <c:v>08-05-2023</c:v>
                </c:pt>
                <c:pt idx="1148">
                  <c:v>09-05-2023</c:v>
                </c:pt>
                <c:pt idx="1149">
                  <c:v>10-05-2023</c:v>
                </c:pt>
                <c:pt idx="1150">
                  <c:v>11-05-2023</c:v>
                </c:pt>
                <c:pt idx="1151">
                  <c:v>12-05-2023</c:v>
                </c:pt>
                <c:pt idx="1152">
                  <c:v>15-05-2023</c:v>
                </c:pt>
                <c:pt idx="1153">
                  <c:v>16-05-2023</c:v>
                </c:pt>
                <c:pt idx="1154">
                  <c:v>17-05-2023</c:v>
                </c:pt>
                <c:pt idx="1155">
                  <c:v>18-05-2023</c:v>
                </c:pt>
                <c:pt idx="1156">
                  <c:v>19-05-2023</c:v>
                </c:pt>
                <c:pt idx="1157">
                  <c:v>22-05-2023</c:v>
                </c:pt>
                <c:pt idx="1158">
                  <c:v>23-05-2023</c:v>
                </c:pt>
                <c:pt idx="1159">
                  <c:v>24-05-2023</c:v>
                </c:pt>
                <c:pt idx="1160">
                  <c:v>25-05-2023</c:v>
                </c:pt>
                <c:pt idx="1161">
                  <c:v>26-05-2023</c:v>
                </c:pt>
                <c:pt idx="1162">
                  <c:v>29-05-2023</c:v>
                </c:pt>
                <c:pt idx="1163">
                  <c:v>30-05-2023</c:v>
                </c:pt>
                <c:pt idx="1164">
                  <c:v>31-05-2023</c:v>
                </c:pt>
                <c:pt idx="1165">
                  <c:v>01-06-2023</c:v>
                </c:pt>
                <c:pt idx="1166">
                  <c:v>02-06-2023</c:v>
                </c:pt>
                <c:pt idx="1167">
                  <c:v>05-06-2023</c:v>
                </c:pt>
                <c:pt idx="1168">
                  <c:v>06-06-2023</c:v>
                </c:pt>
                <c:pt idx="1169">
                  <c:v>07-06-2023</c:v>
                </c:pt>
                <c:pt idx="1170">
                  <c:v>08-06-2023</c:v>
                </c:pt>
                <c:pt idx="1171">
                  <c:v>09-06-2023</c:v>
                </c:pt>
                <c:pt idx="1172">
                  <c:v>12-06-2023</c:v>
                </c:pt>
                <c:pt idx="1173">
                  <c:v>13-06-2023</c:v>
                </c:pt>
                <c:pt idx="1174">
                  <c:v>14-06-2023</c:v>
                </c:pt>
                <c:pt idx="1175">
                  <c:v>15-06-2023</c:v>
                </c:pt>
                <c:pt idx="1176">
                  <c:v>16-06-2023</c:v>
                </c:pt>
                <c:pt idx="1177">
                  <c:v>19-06-2023</c:v>
                </c:pt>
                <c:pt idx="1178">
                  <c:v>20-06-2023</c:v>
                </c:pt>
                <c:pt idx="1179">
                  <c:v>21-06-2023</c:v>
                </c:pt>
                <c:pt idx="1180">
                  <c:v>22-06-2023</c:v>
                </c:pt>
                <c:pt idx="1181">
                  <c:v>23-06-2023</c:v>
                </c:pt>
                <c:pt idx="1182">
                  <c:v>26-06-2023</c:v>
                </c:pt>
                <c:pt idx="1183">
                  <c:v>27-06-2023</c:v>
                </c:pt>
                <c:pt idx="1184">
                  <c:v>28-06-2023</c:v>
                </c:pt>
                <c:pt idx="1185">
                  <c:v>30-06-2023</c:v>
                </c:pt>
                <c:pt idx="1186">
                  <c:v>03-07-2023</c:v>
                </c:pt>
                <c:pt idx="1187">
                  <c:v>04-07-2023</c:v>
                </c:pt>
                <c:pt idx="1188">
                  <c:v>05-07-2023</c:v>
                </c:pt>
                <c:pt idx="1189">
                  <c:v>06-07-2023</c:v>
                </c:pt>
                <c:pt idx="1190">
                  <c:v>07-07-2023</c:v>
                </c:pt>
                <c:pt idx="1191">
                  <c:v>10-07-2023</c:v>
                </c:pt>
                <c:pt idx="1192">
                  <c:v>11-07-2023</c:v>
                </c:pt>
                <c:pt idx="1193">
                  <c:v>12-07-2023</c:v>
                </c:pt>
                <c:pt idx="1194">
                  <c:v>13-07-2023</c:v>
                </c:pt>
                <c:pt idx="1195">
                  <c:v>14-07-2023</c:v>
                </c:pt>
                <c:pt idx="1196">
                  <c:v>17-07-2023</c:v>
                </c:pt>
                <c:pt idx="1197">
                  <c:v>18-07-2023</c:v>
                </c:pt>
                <c:pt idx="1198">
                  <c:v>19-07-2023</c:v>
                </c:pt>
                <c:pt idx="1199">
                  <c:v>20-07-2023</c:v>
                </c:pt>
                <c:pt idx="1200">
                  <c:v>21-07-2023</c:v>
                </c:pt>
                <c:pt idx="1201">
                  <c:v>24-07-2023</c:v>
                </c:pt>
                <c:pt idx="1202">
                  <c:v>25-07-2023</c:v>
                </c:pt>
                <c:pt idx="1203">
                  <c:v>26-07-2023</c:v>
                </c:pt>
                <c:pt idx="1204">
                  <c:v>27-07-2023</c:v>
                </c:pt>
                <c:pt idx="1205">
                  <c:v>28-07-2023</c:v>
                </c:pt>
                <c:pt idx="1206">
                  <c:v>31-07-2023</c:v>
                </c:pt>
                <c:pt idx="1207">
                  <c:v>01-08-2023</c:v>
                </c:pt>
                <c:pt idx="1208">
                  <c:v>02-08-2023</c:v>
                </c:pt>
                <c:pt idx="1209">
                  <c:v>03-08-2023</c:v>
                </c:pt>
                <c:pt idx="1210">
                  <c:v>04-08-2023</c:v>
                </c:pt>
                <c:pt idx="1211">
                  <c:v>07-08-2023</c:v>
                </c:pt>
                <c:pt idx="1212">
                  <c:v>08-08-2023</c:v>
                </c:pt>
                <c:pt idx="1213">
                  <c:v>09-08-2023</c:v>
                </c:pt>
                <c:pt idx="1214">
                  <c:v>10-08-2023</c:v>
                </c:pt>
                <c:pt idx="1215">
                  <c:v>11-08-2023</c:v>
                </c:pt>
                <c:pt idx="1216">
                  <c:v>14-08-2023</c:v>
                </c:pt>
                <c:pt idx="1217">
                  <c:v>16-08-2023</c:v>
                </c:pt>
                <c:pt idx="1218">
                  <c:v>17-08-2023</c:v>
                </c:pt>
                <c:pt idx="1219">
                  <c:v>18-08-2023</c:v>
                </c:pt>
                <c:pt idx="1220">
                  <c:v>21-08-2023</c:v>
                </c:pt>
                <c:pt idx="1221">
                  <c:v>22-08-2023</c:v>
                </c:pt>
                <c:pt idx="1222">
                  <c:v>23-08-2023</c:v>
                </c:pt>
                <c:pt idx="1223">
                  <c:v>24-08-2023</c:v>
                </c:pt>
                <c:pt idx="1224">
                  <c:v>25-08-2023</c:v>
                </c:pt>
                <c:pt idx="1225">
                  <c:v>28-08-2023</c:v>
                </c:pt>
                <c:pt idx="1226">
                  <c:v>29-08-2023</c:v>
                </c:pt>
                <c:pt idx="1227">
                  <c:v>30-08-2023</c:v>
                </c:pt>
                <c:pt idx="1228">
                  <c:v>31-08-2023</c:v>
                </c:pt>
                <c:pt idx="1229">
                  <c:v>01-09-2023</c:v>
                </c:pt>
                <c:pt idx="1230">
                  <c:v>04-09-2023</c:v>
                </c:pt>
                <c:pt idx="1231">
                  <c:v>05-09-2023</c:v>
                </c:pt>
                <c:pt idx="1232">
                  <c:v>06-09-2023</c:v>
                </c:pt>
                <c:pt idx="1233">
                  <c:v>07-09-2023</c:v>
                </c:pt>
                <c:pt idx="1234">
                  <c:v>08-09-2023</c:v>
                </c:pt>
                <c:pt idx="1235">
                  <c:v>11-09-2023</c:v>
                </c:pt>
                <c:pt idx="1236">
                  <c:v>12-09-2023</c:v>
                </c:pt>
                <c:pt idx="1237">
                  <c:v>13-09-2023</c:v>
                </c:pt>
                <c:pt idx="1239">
                  <c:v>Dec-22</c:v>
                </c:pt>
                <c:pt idx="1240">
                  <c:v>FIIs +</c:v>
                </c:pt>
                <c:pt idx="1241">
                  <c:v>DIIs +</c:v>
                </c:pt>
                <c:pt idx="1242">
                  <c:v>Government +</c:v>
                </c:pt>
                <c:pt idx="1243">
                  <c:v>Public +</c:v>
                </c:pt>
                <c:pt idx="1244">
                  <c:v>No. of Shareholders</c:v>
                </c:pt>
              </c:strCache>
            </c:strRef>
          </c:cat>
          <c:val>
            <c:numRef>
              <c:f>Sheet3!$D$2:$D$1246</c:f>
              <c:numCache>
                <c:formatCode>General</c:formatCode>
                <c:ptCount val="1245"/>
                <c:pt idx="0">
                  <c:v>12.82</c:v>
                </c:pt>
                <c:pt idx="1">
                  <c:v>5.83</c:v>
                </c:pt>
                <c:pt idx="2">
                  <c:v>8.1999999999999993</c:v>
                </c:pt>
                <c:pt idx="3">
                  <c:v>6.15</c:v>
                </c:pt>
                <c:pt idx="4">
                  <c:v>16.34</c:v>
                </c:pt>
                <c:pt idx="5">
                  <c:v>14.45</c:v>
                </c:pt>
                <c:pt idx="6">
                  <c:v>13.27</c:v>
                </c:pt>
                <c:pt idx="7">
                  <c:v>19.89</c:v>
                </c:pt>
                <c:pt idx="8">
                  <c:v>12.08</c:v>
                </c:pt>
                <c:pt idx="9">
                  <c:v>24.61</c:v>
                </c:pt>
                <c:pt idx="10">
                  <c:v>9.0299999999999994</c:v>
                </c:pt>
                <c:pt idx="11">
                  <c:v>7.57</c:v>
                </c:pt>
                <c:pt idx="12">
                  <c:v>8.11</c:v>
                </c:pt>
                <c:pt idx="13">
                  <c:v>17.62</c:v>
                </c:pt>
                <c:pt idx="14">
                  <c:v>16.43</c:v>
                </c:pt>
                <c:pt idx="15">
                  <c:v>10.54</c:v>
                </c:pt>
                <c:pt idx="16">
                  <c:v>11.48</c:v>
                </c:pt>
                <c:pt idx="17">
                  <c:v>10.61</c:v>
                </c:pt>
                <c:pt idx="18">
                  <c:v>13.43</c:v>
                </c:pt>
                <c:pt idx="19">
                  <c:v>17.93</c:v>
                </c:pt>
                <c:pt idx="20">
                  <c:v>11.87</c:v>
                </c:pt>
                <c:pt idx="21">
                  <c:v>15.31</c:v>
                </c:pt>
                <c:pt idx="22">
                  <c:v>8.0299999999999994</c:v>
                </c:pt>
                <c:pt idx="23">
                  <c:v>12.48</c:v>
                </c:pt>
                <c:pt idx="24">
                  <c:v>10.84</c:v>
                </c:pt>
                <c:pt idx="25">
                  <c:v>8.69</c:v>
                </c:pt>
                <c:pt idx="26">
                  <c:v>9.58</c:v>
                </c:pt>
                <c:pt idx="27">
                  <c:v>21.48</c:v>
                </c:pt>
                <c:pt idx="28">
                  <c:v>11.34</c:v>
                </c:pt>
                <c:pt idx="29">
                  <c:v>6.85</c:v>
                </c:pt>
                <c:pt idx="30">
                  <c:v>13.5</c:v>
                </c:pt>
                <c:pt idx="31">
                  <c:v>9.4499999999999993</c:v>
                </c:pt>
                <c:pt idx="32">
                  <c:v>11.64</c:v>
                </c:pt>
                <c:pt idx="33">
                  <c:v>7.38</c:v>
                </c:pt>
                <c:pt idx="34">
                  <c:v>9.77</c:v>
                </c:pt>
                <c:pt idx="35">
                  <c:v>0</c:v>
                </c:pt>
                <c:pt idx="36">
                  <c:v>15.03</c:v>
                </c:pt>
                <c:pt idx="37">
                  <c:v>7.05</c:v>
                </c:pt>
                <c:pt idx="38">
                  <c:v>6.7</c:v>
                </c:pt>
                <c:pt idx="39">
                  <c:v>6.92</c:v>
                </c:pt>
                <c:pt idx="40">
                  <c:v>12.15</c:v>
                </c:pt>
                <c:pt idx="41">
                  <c:v>12.64</c:v>
                </c:pt>
                <c:pt idx="42">
                  <c:v>16.72</c:v>
                </c:pt>
                <c:pt idx="43">
                  <c:v>7.8</c:v>
                </c:pt>
                <c:pt idx="44">
                  <c:v>5.65</c:v>
                </c:pt>
                <c:pt idx="45">
                  <c:v>6.68</c:v>
                </c:pt>
                <c:pt idx="46">
                  <c:v>8.9499999999999993</c:v>
                </c:pt>
                <c:pt idx="47">
                  <c:v>6.88</c:v>
                </c:pt>
                <c:pt idx="48">
                  <c:v>8.86</c:v>
                </c:pt>
                <c:pt idx="49">
                  <c:v>13.66</c:v>
                </c:pt>
                <c:pt idx="50">
                  <c:v>8.64</c:v>
                </c:pt>
                <c:pt idx="51">
                  <c:v>8.57</c:v>
                </c:pt>
                <c:pt idx="52">
                  <c:v>6.31</c:v>
                </c:pt>
                <c:pt idx="53">
                  <c:v>11.45</c:v>
                </c:pt>
                <c:pt idx="54">
                  <c:v>9.68</c:v>
                </c:pt>
                <c:pt idx="55">
                  <c:v>8.1</c:v>
                </c:pt>
                <c:pt idx="56">
                  <c:v>6.68</c:v>
                </c:pt>
                <c:pt idx="57">
                  <c:v>10.24</c:v>
                </c:pt>
                <c:pt idx="58">
                  <c:v>10.08</c:v>
                </c:pt>
                <c:pt idx="59">
                  <c:v>15.82</c:v>
                </c:pt>
                <c:pt idx="60">
                  <c:v>8.59</c:v>
                </c:pt>
                <c:pt idx="61">
                  <c:v>12.23</c:v>
                </c:pt>
                <c:pt idx="62">
                  <c:v>8.83</c:v>
                </c:pt>
                <c:pt idx="63">
                  <c:v>13.13</c:v>
                </c:pt>
                <c:pt idx="64">
                  <c:v>4.96</c:v>
                </c:pt>
                <c:pt idx="65">
                  <c:v>6.82</c:v>
                </c:pt>
                <c:pt idx="66">
                  <c:v>8.5399999999999991</c:v>
                </c:pt>
                <c:pt idx="67">
                  <c:v>8.49</c:v>
                </c:pt>
                <c:pt idx="68">
                  <c:v>11.44</c:v>
                </c:pt>
                <c:pt idx="69">
                  <c:v>13.19</c:v>
                </c:pt>
                <c:pt idx="70">
                  <c:v>5.45</c:v>
                </c:pt>
                <c:pt idx="71">
                  <c:v>2.4900000000000002</c:v>
                </c:pt>
                <c:pt idx="72">
                  <c:v>9.93</c:v>
                </c:pt>
                <c:pt idx="73">
                  <c:v>6.11</c:v>
                </c:pt>
                <c:pt idx="74">
                  <c:v>7.81</c:v>
                </c:pt>
                <c:pt idx="75">
                  <c:v>9.76</c:v>
                </c:pt>
                <c:pt idx="76">
                  <c:v>7.48</c:v>
                </c:pt>
                <c:pt idx="77">
                  <c:v>12.18</c:v>
                </c:pt>
                <c:pt idx="78">
                  <c:v>10.29</c:v>
                </c:pt>
                <c:pt idx="79">
                  <c:v>16.77</c:v>
                </c:pt>
                <c:pt idx="80">
                  <c:v>6.4</c:v>
                </c:pt>
                <c:pt idx="81">
                  <c:v>7.21</c:v>
                </c:pt>
                <c:pt idx="82">
                  <c:v>7.78</c:v>
                </c:pt>
                <c:pt idx="83">
                  <c:v>10.6</c:v>
                </c:pt>
                <c:pt idx="84">
                  <c:v>10.99</c:v>
                </c:pt>
                <c:pt idx="85">
                  <c:v>8.1999999999999993</c:v>
                </c:pt>
                <c:pt idx="86">
                  <c:v>10.33</c:v>
                </c:pt>
                <c:pt idx="87">
                  <c:v>40.19</c:v>
                </c:pt>
                <c:pt idx="88">
                  <c:v>28.03</c:v>
                </c:pt>
                <c:pt idx="89">
                  <c:v>8.9</c:v>
                </c:pt>
                <c:pt idx="90">
                  <c:v>8.99</c:v>
                </c:pt>
                <c:pt idx="91">
                  <c:v>7</c:v>
                </c:pt>
                <c:pt idx="92">
                  <c:v>10.45</c:v>
                </c:pt>
                <c:pt idx="93">
                  <c:v>15.35</c:v>
                </c:pt>
                <c:pt idx="94">
                  <c:v>18.350000000000001</c:v>
                </c:pt>
                <c:pt idx="95">
                  <c:v>6.06</c:v>
                </c:pt>
                <c:pt idx="96">
                  <c:v>9.83</c:v>
                </c:pt>
                <c:pt idx="97">
                  <c:v>8.1</c:v>
                </c:pt>
                <c:pt idx="98">
                  <c:v>5.95</c:v>
                </c:pt>
                <c:pt idx="99">
                  <c:v>4.41</c:v>
                </c:pt>
                <c:pt idx="100">
                  <c:v>9.9499999999999993</c:v>
                </c:pt>
                <c:pt idx="101">
                  <c:v>7.34</c:v>
                </c:pt>
                <c:pt idx="102">
                  <c:v>15.34</c:v>
                </c:pt>
                <c:pt idx="103">
                  <c:v>9.99</c:v>
                </c:pt>
                <c:pt idx="104">
                  <c:v>37.549999999999997</c:v>
                </c:pt>
                <c:pt idx="105">
                  <c:v>40.67</c:v>
                </c:pt>
                <c:pt idx="106">
                  <c:v>34.450000000000003</c:v>
                </c:pt>
                <c:pt idx="107">
                  <c:v>5.98</c:v>
                </c:pt>
                <c:pt idx="108">
                  <c:v>7</c:v>
                </c:pt>
                <c:pt idx="109">
                  <c:v>8.76</c:v>
                </c:pt>
                <c:pt idx="110">
                  <c:v>30.05</c:v>
                </c:pt>
                <c:pt idx="111">
                  <c:v>11.78</c:v>
                </c:pt>
                <c:pt idx="112">
                  <c:v>13.13</c:v>
                </c:pt>
                <c:pt idx="113">
                  <c:v>43.21</c:v>
                </c:pt>
                <c:pt idx="114">
                  <c:v>8.83</c:v>
                </c:pt>
                <c:pt idx="115">
                  <c:v>13.58</c:v>
                </c:pt>
                <c:pt idx="116">
                  <c:v>20.05</c:v>
                </c:pt>
                <c:pt idx="117">
                  <c:v>14.29</c:v>
                </c:pt>
                <c:pt idx="118">
                  <c:v>12.68</c:v>
                </c:pt>
                <c:pt idx="119">
                  <c:v>14.72</c:v>
                </c:pt>
                <c:pt idx="120">
                  <c:v>14.14</c:v>
                </c:pt>
                <c:pt idx="121">
                  <c:v>11.07</c:v>
                </c:pt>
                <c:pt idx="122">
                  <c:v>10.11</c:v>
                </c:pt>
                <c:pt idx="123">
                  <c:v>21.4</c:v>
                </c:pt>
                <c:pt idx="124">
                  <c:v>9.17</c:v>
                </c:pt>
                <c:pt idx="125">
                  <c:v>15.76</c:v>
                </c:pt>
                <c:pt idx="126">
                  <c:v>15.62</c:v>
                </c:pt>
                <c:pt idx="127">
                  <c:v>8.07</c:v>
                </c:pt>
                <c:pt idx="128">
                  <c:v>8.02</c:v>
                </c:pt>
                <c:pt idx="129">
                  <c:v>10.76</c:v>
                </c:pt>
                <c:pt idx="130">
                  <c:v>8.43</c:v>
                </c:pt>
                <c:pt idx="131">
                  <c:v>17.75</c:v>
                </c:pt>
                <c:pt idx="132">
                  <c:v>11.91</c:v>
                </c:pt>
                <c:pt idx="133">
                  <c:v>6.2</c:v>
                </c:pt>
                <c:pt idx="134">
                  <c:v>9.85</c:v>
                </c:pt>
                <c:pt idx="135">
                  <c:v>9.06</c:v>
                </c:pt>
                <c:pt idx="136">
                  <c:v>6.97</c:v>
                </c:pt>
                <c:pt idx="137">
                  <c:v>7.81</c:v>
                </c:pt>
                <c:pt idx="138">
                  <c:v>5.29</c:v>
                </c:pt>
                <c:pt idx="139">
                  <c:v>6.18</c:v>
                </c:pt>
                <c:pt idx="140">
                  <c:v>5.33</c:v>
                </c:pt>
                <c:pt idx="141">
                  <c:v>10.76</c:v>
                </c:pt>
                <c:pt idx="142">
                  <c:v>21.82</c:v>
                </c:pt>
                <c:pt idx="143">
                  <c:v>12.61</c:v>
                </c:pt>
                <c:pt idx="144">
                  <c:v>9.75</c:v>
                </c:pt>
                <c:pt idx="145">
                  <c:v>8.84</c:v>
                </c:pt>
                <c:pt idx="146">
                  <c:v>6.67</c:v>
                </c:pt>
                <c:pt idx="147">
                  <c:v>7.5</c:v>
                </c:pt>
                <c:pt idx="148">
                  <c:v>11.45</c:v>
                </c:pt>
                <c:pt idx="149">
                  <c:v>23.24</c:v>
                </c:pt>
                <c:pt idx="150">
                  <c:v>4.6500000000000004</c:v>
                </c:pt>
                <c:pt idx="151">
                  <c:v>11.16</c:v>
                </c:pt>
                <c:pt idx="152">
                  <c:v>7.49</c:v>
                </c:pt>
                <c:pt idx="153">
                  <c:v>5.89</c:v>
                </c:pt>
                <c:pt idx="154">
                  <c:v>6.74</c:v>
                </c:pt>
                <c:pt idx="155">
                  <c:v>8.66</c:v>
                </c:pt>
                <c:pt idx="156">
                  <c:v>7.88</c:v>
                </c:pt>
                <c:pt idx="157">
                  <c:v>10.220000000000001</c:v>
                </c:pt>
                <c:pt idx="158">
                  <c:v>6.9</c:v>
                </c:pt>
                <c:pt idx="159">
                  <c:v>35.880000000000003</c:v>
                </c:pt>
                <c:pt idx="160">
                  <c:v>21.15</c:v>
                </c:pt>
                <c:pt idx="161">
                  <c:v>17.89</c:v>
                </c:pt>
                <c:pt idx="162">
                  <c:v>7.35</c:v>
                </c:pt>
                <c:pt idx="163">
                  <c:v>11.19</c:v>
                </c:pt>
                <c:pt idx="164">
                  <c:v>11.01</c:v>
                </c:pt>
                <c:pt idx="165">
                  <c:v>10.52</c:v>
                </c:pt>
                <c:pt idx="166">
                  <c:v>13.74</c:v>
                </c:pt>
                <c:pt idx="167">
                  <c:v>31.38</c:v>
                </c:pt>
                <c:pt idx="168">
                  <c:v>10.88</c:v>
                </c:pt>
                <c:pt idx="169">
                  <c:v>9.02</c:v>
                </c:pt>
                <c:pt idx="170">
                  <c:v>15.6</c:v>
                </c:pt>
                <c:pt idx="171">
                  <c:v>7.26</c:v>
                </c:pt>
                <c:pt idx="172">
                  <c:v>8.66</c:v>
                </c:pt>
                <c:pt idx="173">
                  <c:v>26.28</c:v>
                </c:pt>
                <c:pt idx="174">
                  <c:v>19.57</c:v>
                </c:pt>
                <c:pt idx="175">
                  <c:v>13.85</c:v>
                </c:pt>
                <c:pt idx="176">
                  <c:v>10.66</c:v>
                </c:pt>
                <c:pt idx="177">
                  <c:v>7.7</c:v>
                </c:pt>
                <c:pt idx="178">
                  <c:v>8.6199999999999992</c:v>
                </c:pt>
                <c:pt idx="179">
                  <c:v>8.4600000000000009</c:v>
                </c:pt>
                <c:pt idx="180">
                  <c:v>8.25</c:v>
                </c:pt>
                <c:pt idx="181">
                  <c:v>7.2</c:v>
                </c:pt>
                <c:pt idx="182">
                  <c:v>7.91</c:v>
                </c:pt>
                <c:pt idx="183">
                  <c:v>10.01</c:v>
                </c:pt>
                <c:pt idx="184">
                  <c:v>13.85</c:v>
                </c:pt>
                <c:pt idx="185">
                  <c:v>9.0500000000000007</c:v>
                </c:pt>
                <c:pt idx="186">
                  <c:v>10.57</c:v>
                </c:pt>
                <c:pt idx="187">
                  <c:v>18.600000000000001</c:v>
                </c:pt>
                <c:pt idx="188">
                  <c:v>8.94</c:v>
                </c:pt>
                <c:pt idx="189">
                  <c:v>12.38</c:v>
                </c:pt>
                <c:pt idx="190">
                  <c:v>7.42</c:v>
                </c:pt>
                <c:pt idx="191">
                  <c:v>23.31</c:v>
                </c:pt>
                <c:pt idx="192">
                  <c:v>8.4499999999999993</c:v>
                </c:pt>
                <c:pt idx="193">
                  <c:v>5.04</c:v>
                </c:pt>
                <c:pt idx="194">
                  <c:v>9.98</c:v>
                </c:pt>
                <c:pt idx="195">
                  <c:v>18.12</c:v>
                </c:pt>
                <c:pt idx="196">
                  <c:v>9.6999999999999993</c:v>
                </c:pt>
                <c:pt idx="197">
                  <c:v>37.049999999999997</c:v>
                </c:pt>
                <c:pt idx="198">
                  <c:v>12.17</c:v>
                </c:pt>
                <c:pt idx="199">
                  <c:v>7.71</c:v>
                </c:pt>
                <c:pt idx="200">
                  <c:v>8.16</c:v>
                </c:pt>
                <c:pt idx="201">
                  <c:v>8.4</c:v>
                </c:pt>
                <c:pt idx="202">
                  <c:v>10.47</c:v>
                </c:pt>
                <c:pt idx="203">
                  <c:v>8.5399999999999991</c:v>
                </c:pt>
                <c:pt idx="204">
                  <c:v>6.36</c:v>
                </c:pt>
                <c:pt idx="205">
                  <c:v>6.29</c:v>
                </c:pt>
                <c:pt idx="206">
                  <c:v>9.1</c:v>
                </c:pt>
                <c:pt idx="207">
                  <c:v>7.99</c:v>
                </c:pt>
                <c:pt idx="208">
                  <c:v>13.52</c:v>
                </c:pt>
                <c:pt idx="209">
                  <c:v>14.4</c:v>
                </c:pt>
                <c:pt idx="210">
                  <c:v>12.07</c:v>
                </c:pt>
                <c:pt idx="211">
                  <c:v>17.670000000000002</c:v>
                </c:pt>
                <c:pt idx="212">
                  <c:v>4.79</c:v>
                </c:pt>
                <c:pt idx="213">
                  <c:v>5.53</c:v>
                </c:pt>
                <c:pt idx="214">
                  <c:v>13.23</c:v>
                </c:pt>
                <c:pt idx="215">
                  <c:v>13.65</c:v>
                </c:pt>
                <c:pt idx="216">
                  <c:v>5.93</c:v>
                </c:pt>
                <c:pt idx="217">
                  <c:v>8.89</c:v>
                </c:pt>
                <c:pt idx="218">
                  <c:v>11.56</c:v>
                </c:pt>
                <c:pt idx="219">
                  <c:v>9.41</c:v>
                </c:pt>
                <c:pt idx="220">
                  <c:v>8.49</c:v>
                </c:pt>
                <c:pt idx="221">
                  <c:v>6.37</c:v>
                </c:pt>
                <c:pt idx="222">
                  <c:v>9.93</c:v>
                </c:pt>
                <c:pt idx="223">
                  <c:v>20.99</c:v>
                </c:pt>
                <c:pt idx="224">
                  <c:v>13.81</c:v>
                </c:pt>
                <c:pt idx="225">
                  <c:v>10.34</c:v>
                </c:pt>
                <c:pt idx="226">
                  <c:v>12.52</c:v>
                </c:pt>
                <c:pt idx="227">
                  <c:v>15</c:v>
                </c:pt>
                <c:pt idx="228">
                  <c:v>14.74</c:v>
                </c:pt>
                <c:pt idx="229">
                  <c:v>10.51</c:v>
                </c:pt>
                <c:pt idx="230">
                  <c:v>16.440000000000001</c:v>
                </c:pt>
                <c:pt idx="231">
                  <c:v>12.86</c:v>
                </c:pt>
                <c:pt idx="232">
                  <c:v>14.53</c:v>
                </c:pt>
                <c:pt idx="233">
                  <c:v>8.89</c:v>
                </c:pt>
                <c:pt idx="234">
                  <c:v>11.11</c:v>
                </c:pt>
                <c:pt idx="235">
                  <c:v>11.77</c:v>
                </c:pt>
                <c:pt idx="236">
                  <c:v>9.5500000000000007</c:v>
                </c:pt>
                <c:pt idx="237">
                  <c:v>7.03</c:v>
                </c:pt>
                <c:pt idx="238">
                  <c:v>8.4499999999999993</c:v>
                </c:pt>
                <c:pt idx="239">
                  <c:v>8.6999999999999993</c:v>
                </c:pt>
                <c:pt idx="240">
                  <c:v>9.09</c:v>
                </c:pt>
                <c:pt idx="241">
                  <c:v>8.9700000000000006</c:v>
                </c:pt>
                <c:pt idx="242">
                  <c:v>8.08</c:v>
                </c:pt>
                <c:pt idx="243">
                  <c:v>14.03</c:v>
                </c:pt>
                <c:pt idx="244">
                  <c:v>7.08</c:v>
                </c:pt>
                <c:pt idx="245">
                  <c:v>10.67</c:v>
                </c:pt>
                <c:pt idx="246">
                  <c:v>19.96</c:v>
                </c:pt>
                <c:pt idx="247">
                  <c:v>8.48</c:v>
                </c:pt>
                <c:pt idx="248">
                  <c:v>63.57</c:v>
                </c:pt>
                <c:pt idx="249">
                  <c:v>52.04</c:v>
                </c:pt>
                <c:pt idx="250">
                  <c:v>17.170000000000002</c:v>
                </c:pt>
                <c:pt idx="251">
                  <c:v>20.6</c:v>
                </c:pt>
                <c:pt idx="252">
                  <c:v>17.850000000000001</c:v>
                </c:pt>
                <c:pt idx="253">
                  <c:v>17.54</c:v>
                </c:pt>
                <c:pt idx="254">
                  <c:v>20.59</c:v>
                </c:pt>
                <c:pt idx="255">
                  <c:v>15.44</c:v>
                </c:pt>
                <c:pt idx="256">
                  <c:v>12.36</c:v>
                </c:pt>
                <c:pt idx="257">
                  <c:v>18.09</c:v>
                </c:pt>
                <c:pt idx="258">
                  <c:v>21.26</c:v>
                </c:pt>
                <c:pt idx="259">
                  <c:v>21.5</c:v>
                </c:pt>
                <c:pt idx="260">
                  <c:v>24.29</c:v>
                </c:pt>
                <c:pt idx="261">
                  <c:v>25.07</c:v>
                </c:pt>
                <c:pt idx="262">
                  <c:v>14.71</c:v>
                </c:pt>
                <c:pt idx="263">
                  <c:v>9.99</c:v>
                </c:pt>
                <c:pt idx="264">
                  <c:v>16.059999999999999</c:v>
                </c:pt>
                <c:pt idx="265">
                  <c:v>13.65</c:v>
                </c:pt>
                <c:pt idx="266">
                  <c:v>12.83</c:v>
                </c:pt>
                <c:pt idx="267">
                  <c:v>18.28</c:v>
                </c:pt>
                <c:pt idx="268">
                  <c:v>12.83</c:v>
                </c:pt>
                <c:pt idx="269">
                  <c:v>16.79</c:v>
                </c:pt>
                <c:pt idx="270">
                  <c:v>32.590000000000003</c:v>
                </c:pt>
                <c:pt idx="271">
                  <c:v>3.13</c:v>
                </c:pt>
                <c:pt idx="272">
                  <c:v>11.94</c:v>
                </c:pt>
                <c:pt idx="273">
                  <c:v>34.29</c:v>
                </c:pt>
                <c:pt idx="274">
                  <c:v>16.649999999999999</c:v>
                </c:pt>
                <c:pt idx="275">
                  <c:v>12.57</c:v>
                </c:pt>
                <c:pt idx="276">
                  <c:v>7.9</c:v>
                </c:pt>
                <c:pt idx="277">
                  <c:v>10.28</c:v>
                </c:pt>
                <c:pt idx="278">
                  <c:v>8.86</c:v>
                </c:pt>
                <c:pt idx="279">
                  <c:v>14.78</c:v>
                </c:pt>
                <c:pt idx="280">
                  <c:v>11.9</c:v>
                </c:pt>
                <c:pt idx="281">
                  <c:v>7.25</c:v>
                </c:pt>
                <c:pt idx="282">
                  <c:v>10.27</c:v>
                </c:pt>
                <c:pt idx="283">
                  <c:v>8.8800000000000008</c:v>
                </c:pt>
                <c:pt idx="284">
                  <c:v>16.739999999999998</c:v>
                </c:pt>
                <c:pt idx="285">
                  <c:v>7.86</c:v>
                </c:pt>
                <c:pt idx="286">
                  <c:v>12.15</c:v>
                </c:pt>
                <c:pt idx="287">
                  <c:v>9.98</c:v>
                </c:pt>
                <c:pt idx="288">
                  <c:v>10.39</c:v>
                </c:pt>
                <c:pt idx="289">
                  <c:v>16.37</c:v>
                </c:pt>
                <c:pt idx="290">
                  <c:v>10.59</c:v>
                </c:pt>
                <c:pt idx="291">
                  <c:v>19.78</c:v>
                </c:pt>
                <c:pt idx="292">
                  <c:v>8.84</c:v>
                </c:pt>
                <c:pt idx="293">
                  <c:v>10.99</c:v>
                </c:pt>
                <c:pt idx="294">
                  <c:v>9.81</c:v>
                </c:pt>
                <c:pt idx="295">
                  <c:v>9.9700000000000006</c:v>
                </c:pt>
                <c:pt idx="296">
                  <c:v>8.1300000000000008</c:v>
                </c:pt>
                <c:pt idx="297">
                  <c:v>11.95</c:v>
                </c:pt>
                <c:pt idx="298">
                  <c:v>11.27</c:v>
                </c:pt>
                <c:pt idx="299">
                  <c:v>10.37</c:v>
                </c:pt>
                <c:pt idx="300">
                  <c:v>6.72</c:v>
                </c:pt>
                <c:pt idx="301">
                  <c:v>15.38</c:v>
                </c:pt>
                <c:pt idx="302">
                  <c:v>13.8</c:v>
                </c:pt>
                <c:pt idx="303">
                  <c:v>10.31</c:v>
                </c:pt>
                <c:pt idx="304">
                  <c:v>8.2100000000000009</c:v>
                </c:pt>
                <c:pt idx="305">
                  <c:v>12.01</c:v>
                </c:pt>
                <c:pt idx="306">
                  <c:v>15.92</c:v>
                </c:pt>
                <c:pt idx="307">
                  <c:v>17.13</c:v>
                </c:pt>
                <c:pt idx="308">
                  <c:v>9.34</c:v>
                </c:pt>
                <c:pt idx="309">
                  <c:v>13.96</c:v>
                </c:pt>
                <c:pt idx="310">
                  <c:v>19.079999999999998</c:v>
                </c:pt>
                <c:pt idx="311">
                  <c:v>7.9</c:v>
                </c:pt>
                <c:pt idx="312">
                  <c:v>14.46</c:v>
                </c:pt>
                <c:pt idx="313">
                  <c:v>8.7100000000000009</c:v>
                </c:pt>
                <c:pt idx="314">
                  <c:v>13.17</c:v>
                </c:pt>
                <c:pt idx="315">
                  <c:v>7.14</c:v>
                </c:pt>
                <c:pt idx="316">
                  <c:v>4.21</c:v>
                </c:pt>
                <c:pt idx="317">
                  <c:v>8.4</c:v>
                </c:pt>
                <c:pt idx="318">
                  <c:v>9.2799999999999994</c:v>
                </c:pt>
                <c:pt idx="319">
                  <c:v>7.64</c:v>
                </c:pt>
                <c:pt idx="320">
                  <c:v>8.42</c:v>
                </c:pt>
                <c:pt idx="321">
                  <c:v>7.04</c:v>
                </c:pt>
                <c:pt idx="322">
                  <c:v>9.4499999999999993</c:v>
                </c:pt>
                <c:pt idx="323">
                  <c:v>9.9700000000000006</c:v>
                </c:pt>
                <c:pt idx="324">
                  <c:v>12.24</c:v>
                </c:pt>
                <c:pt idx="325">
                  <c:v>11.84</c:v>
                </c:pt>
                <c:pt idx="326">
                  <c:v>5.48</c:v>
                </c:pt>
                <c:pt idx="327">
                  <c:v>9.3699999999999992</c:v>
                </c:pt>
                <c:pt idx="328">
                  <c:v>7.39</c:v>
                </c:pt>
                <c:pt idx="329">
                  <c:v>8.02</c:v>
                </c:pt>
                <c:pt idx="330">
                  <c:v>9.57</c:v>
                </c:pt>
                <c:pt idx="331">
                  <c:v>7.65</c:v>
                </c:pt>
                <c:pt idx="332">
                  <c:v>6.12</c:v>
                </c:pt>
                <c:pt idx="333">
                  <c:v>6.8</c:v>
                </c:pt>
                <c:pt idx="334">
                  <c:v>6.84</c:v>
                </c:pt>
                <c:pt idx="335">
                  <c:v>14.58</c:v>
                </c:pt>
                <c:pt idx="336">
                  <c:v>20.47</c:v>
                </c:pt>
                <c:pt idx="337">
                  <c:v>10.39</c:v>
                </c:pt>
                <c:pt idx="338">
                  <c:v>18.46</c:v>
                </c:pt>
                <c:pt idx="339">
                  <c:v>42.27</c:v>
                </c:pt>
                <c:pt idx="340">
                  <c:v>79.760000000000005</c:v>
                </c:pt>
                <c:pt idx="341">
                  <c:v>35.770000000000003</c:v>
                </c:pt>
                <c:pt idx="342">
                  <c:v>21.25</c:v>
                </c:pt>
                <c:pt idx="343">
                  <c:v>27.39</c:v>
                </c:pt>
                <c:pt idx="344">
                  <c:v>17.13</c:v>
                </c:pt>
                <c:pt idx="345">
                  <c:v>9.6199999999999992</c:v>
                </c:pt>
                <c:pt idx="346">
                  <c:v>29.8</c:v>
                </c:pt>
                <c:pt idx="347">
                  <c:v>9.93</c:v>
                </c:pt>
                <c:pt idx="348">
                  <c:v>9.15</c:v>
                </c:pt>
                <c:pt idx="349">
                  <c:v>13.73</c:v>
                </c:pt>
                <c:pt idx="350">
                  <c:v>15.56</c:v>
                </c:pt>
                <c:pt idx="351">
                  <c:v>20.93</c:v>
                </c:pt>
                <c:pt idx="352">
                  <c:v>9.0500000000000007</c:v>
                </c:pt>
                <c:pt idx="353">
                  <c:v>15.59</c:v>
                </c:pt>
                <c:pt idx="354">
                  <c:v>16.59</c:v>
                </c:pt>
                <c:pt idx="355">
                  <c:v>15.31</c:v>
                </c:pt>
                <c:pt idx="356">
                  <c:v>17.87</c:v>
                </c:pt>
                <c:pt idx="357">
                  <c:v>17.27</c:v>
                </c:pt>
                <c:pt idx="358">
                  <c:v>32.630000000000003</c:v>
                </c:pt>
                <c:pt idx="359">
                  <c:v>18.559999999999999</c:v>
                </c:pt>
                <c:pt idx="360">
                  <c:v>17.95</c:v>
                </c:pt>
                <c:pt idx="361">
                  <c:v>27.66</c:v>
                </c:pt>
                <c:pt idx="362">
                  <c:v>20.03</c:v>
                </c:pt>
                <c:pt idx="363">
                  <c:v>26.76</c:v>
                </c:pt>
                <c:pt idx="364">
                  <c:v>21.8</c:v>
                </c:pt>
                <c:pt idx="365">
                  <c:v>27.96</c:v>
                </c:pt>
                <c:pt idx="366">
                  <c:v>52.04</c:v>
                </c:pt>
                <c:pt idx="367">
                  <c:v>61.59</c:v>
                </c:pt>
                <c:pt idx="368">
                  <c:v>33.26</c:v>
                </c:pt>
                <c:pt idx="369">
                  <c:v>47.66</c:v>
                </c:pt>
                <c:pt idx="370">
                  <c:v>50.25</c:v>
                </c:pt>
                <c:pt idx="371">
                  <c:v>89.75</c:v>
                </c:pt>
                <c:pt idx="372">
                  <c:v>62</c:v>
                </c:pt>
                <c:pt idx="373">
                  <c:v>51.35</c:v>
                </c:pt>
                <c:pt idx="374">
                  <c:v>52.57</c:v>
                </c:pt>
                <c:pt idx="375">
                  <c:v>62.51</c:v>
                </c:pt>
                <c:pt idx="376">
                  <c:v>58.44</c:v>
                </c:pt>
                <c:pt idx="377">
                  <c:v>32.64</c:v>
                </c:pt>
                <c:pt idx="378">
                  <c:v>28.12</c:v>
                </c:pt>
                <c:pt idx="379">
                  <c:v>42.63</c:v>
                </c:pt>
                <c:pt idx="380">
                  <c:v>18.14</c:v>
                </c:pt>
                <c:pt idx="381">
                  <c:v>62.87</c:v>
                </c:pt>
                <c:pt idx="382">
                  <c:v>36.119999999999997</c:v>
                </c:pt>
                <c:pt idx="383">
                  <c:v>37.56</c:v>
                </c:pt>
                <c:pt idx="384">
                  <c:v>42.64</c:v>
                </c:pt>
                <c:pt idx="385">
                  <c:v>17.739999999999998</c:v>
                </c:pt>
                <c:pt idx="386">
                  <c:v>49.09</c:v>
                </c:pt>
                <c:pt idx="387">
                  <c:v>27.08</c:v>
                </c:pt>
                <c:pt idx="388">
                  <c:v>26.67</c:v>
                </c:pt>
                <c:pt idx="389">
                  <c:v>35.770000000000003</c:v>
                </c:pt>
                <c:pt idx="390">
                  <c:v>23.33</c:v>
                </c:pt>
                <c:pt idx="391">
                  <c:v>25.16</c:v>
                </c:pt>
                <c:pt idx="392">
                  <c:v>32.97</c:v>
                </c:pt>
                <c:pt idx="393">
                  <c:v>18.05</c:v>
                </c:pt>
                <c:pt idx="394">
                  <c:v>13.09</c:v>
                </c:pt>
                <c:pt idx="395">
                  <c:v>17.8</c:v>
                </c:pt>
                <c:pt idx="396">
                  <c:v>21.46</c:v>
                </c:pt>
                <c:pt idx="397">
                  <c:v>30.17</c:v>
                </c:pt>
                <c:pt idx="398">
                  <c:v>30.3</c:v>
                </c:pt>
                <c:pt idx="399">
                  <c:v>17.71</c:v>
                </c:pt>
                <c:pt idx="400">
                  <c:v>65.59</c:v>
                </c:pt>
                <c:pt idx="401">
                  <c:v>24.25</c:v>
                </c:pt>
                <c:pt idx="402">
                  <c:v>25.31</c:v>
                </c:pt>
                <c:pt idx="403">
                  <c:v>18.100000000000001</c:v>
                </c:pt>
                <c:pt idx="404">
                  <c:v>21.39</c:v>
                </c:pt>
                <c:pt idx="405">
                  <c:v>20.02</c:v>
                </c:pt>
                <c:pt idx="406">
                  <c:v>14.95</c:v>
                </c:pt>
                <c:pt idx="407">
                  <c:v>14.95</c:v>
                </c:pt>
                <c:pt idx="408">
                  <c:v>20.8</c:v>
                </c:pt>
                <c:pt idx="409">
                  <c:v>20.14</c:v>
                </c:pt>
                <c:pt idx="410">
                  <c:v>25.32</c:v>
                </c:pt>
                <c:pt idx="411">
                  <c:v>58.38</c:v>
                </c:pt>
                <c:pt idx="412">
                  <c:v>39.01</c:v>
                </c:pt>
                <c:pt idx="413">
                  <c:v>53.24</c:v>
                </c:pt>
                <c:pt idx="414">
                  <c:v>24.55</c:v>
                </c:pt>
                <c:pt idx="415">
                  <c:v>24.58</c:v>
                </c:pt>
                <c:pt idx="416">
                  <c:v>35.840000000000003</c:v>
                </c:pt>
                <c:pt idx="417">
                  <c:v>28.51</c:v>
                </c:pt>
                <c:pt idx="418">
                  <c:v>22.63</c:v>
                </c:pt>
                <c:pt idx="419">
                  <c:v>18.98</c:v>
                </c:pt>
                <c:pt idx="420">
                  <c:v>22</c:v>
                </c:pt>
                <c:pt idx="421">
                  <c:v>14.63</c:v>
                </c:pt>
                <c:pt idx="422">
                  <c:v>19.559999999999999</c:v>
                </c:pt>
                <c:pt idx="423">
                  <c:v>39.909999999999997</c:v>
                </c:pt>
                <c:pt idx="424">
                  <c:v>27.2</c:v>
                </c:pt>
                <c:pt idx="425">
                  <c:v>19.850000000000001</c:v>
                </c:pt>
                <c:pt idx="426">
                  <c:v>22.56</c:v>
                </c:pt>
                <c:pt idx="427">
                  <c:v>24.46</c:v>
                </c:pt>
                <c:pt idx="428">
                  <c:v>27.64</c:v>
                </c:pt>
                <c:pt idx="429">
                  <c:v>24.03</c:v>
                </c:pt>
                <c:pt idx="430">
                  <c:v>28.89</c:v>
                </c:pt>
                <c:pt idx="431">
                  <c:v>30.53</c:v>
                </c:pt>
                <c:pt idx="432">
                  <c:v>31.4</c:v>
                </c:pt>
                <c:pt idx="433">
                  <c:v>26.55</c:v>
                </c:pt>
                <c:pt idx="434">
                  <c:v>54.65</c:v>
                </c:pt>
                <c:pt idx="435">
                  <c:v>75.58</c:v>
                </c:pt>
                <c:pt idx="436">
                  <c:v>71.959999999999994</c:v>
                </c:pt>
                <c:pt idx="437">
                  <c:v>91.5</c:v>
                </c:pt>
                <c:pt idx="438">
                  <c:v>41.22</c:v>
                </c:pt>
                <c:pt idx="439">
                  <c:v>44.3</c:v>
                </c:pt>
                <c:pt idx="440">
                  <c:v>39.32</c:v>
                </c:pt>
                <c:pt idx="441">
                  <c:v>37.9</c:v>
                </c:pt>
                <c:pt idx="442">
                  <c:v>34.71</c:v>
                </c:pt>
                <c:pt idx="443">
                  <c:v>31.28</c:v>
                </c:pt>
                <c:pt idx="444">
                  <c:v>21.28</c:v>
                </c:pt>
                <c:pt idx="445">
                  <c:v>18.77</c:v>
                </c:pt>
                <c:pt idx="446">
                  <c:v>16.190000000000001</c:v>
                </c:pt>
                <c:pt idx="447">
                  <c:v>20.3</c:v>
                </c:pt>
                <c:pt idx="448">
                  <c:v>18.48</c:v>
                </c:pt>
                <c:pt idx="449">
                  <c:v>23.78</c:v>
                </c:pt>
                <c:pt idx="450">
                  <c:v>22.14</c:v>
                </c:pt>
                <c:pt idx="451">
                  <c:v>14.88</c:v>
                </c:pt>
                <c:pt idx="452">
                  <c:v>18.920000000000002</c:v>
                </c:pt>
                <c:pt idx="453">
                  <c:v>28.01</c:v>
                </c:pt>
                <c:pt idx="454">
                  <c:v>32.57</c:v>
                </c:pt>
                <c:pt idx="455">
                  <c:v>31.49</c:v>
                </c:pt>
                <c:pt idx="456">
                  <c:v>60.19</c:v>
                </c:pt>
                <c:pt idx="457">
                  <c:v>22.65</c:v>
                </c:pt>
                <c:pt idx="458">
                  <c:v>19.29</c:v>
                </c:pt>
                <c:pt idx="459">
                  <c:v>14.83</c:v>
                </c:pt>
                <c:pt idx="460">
                  <c:v>16.32</c:v>
                </c:pt>
                <c:pt idx="461">
                  <c:v>16.649999999999999</c:v>
                </c:pt>
                <c:pt idx="462">
                  <c:v>13.27</c:v>
                </c:pt>
                <c:pt idx="463">
                  <c:v>17.190000000000001</c:v>
                </c:pt>
                <c:pt idx="464">
                  <c:v>48.77</c:v>
                </c:pt>
                <c:pt idx="465">
                  <c:v>17.89</c:v>
                </c:pt>
                <c:pt idx="466">
                  <c:v>20.91</c:v>
                </c:pt>
                <c:pt idx="467">
                  <c:v>16.47</c:v>
                </c:pt>
                <c:pt idx="468">
                  <c:v>55.14</c:v>
                </c:pt>
                <c:pt idx="469">
                  <c:v>21.29</c:v>
                </c:pt>
                <c:pt idx="470">
                  <c:v>22.7</c:v>
                </c:pt>
                <c:pt idx="471">
                  <c:v>28.75</c:v>
                </c:pt>
                <c:pt idx="472">
                  <c:v>11.74</c:v>
                </c:pt>
                <c:pt idx="473">
                  <c:v>12.49</c:v>
                </c:pt>
                <c:pt idx="474">
                  <c:v>15.47</c:v>
                </c:pt>
                <c:pt idx="475">
                  <c:v>16.91</c:v>
                </c:pt>
                <c:pt idx="476">
                  <c:v>17.23</c:v>
                </c:pt>
                <c:pt idx="477">
                  <c:v>14.74</c:v>
                </c:pt>
                <c:pt idx="478">
                  <c:v>15.2</c:v>
                </c:pt>
                <c:pt idx="479">
                  <c:v>22.63</c:v>
                </c:pt>
                <c:pt idx="480">
                  <c:v>47.21</c:v>
                </c:pt>
                <c:pt idx="481">
                  <c:v>34.65</c:v>
                </c:pt>
                <c:pt idx="482">
                  <c:v>97</c:v>
                </c:pt>
                <c:pt idx="483">
                  <c:v>39.78</c:v>
                </c:pt>
                <c:pt idx="484">
                  <c:v>20.59</c:v>
                </c:pt>
                <c:pt idx="485">
                  <c:v>15.69</c:v>
                </c:pt>
                <c:pt idx="486">
                  <c:v>41.39</c:v>
                </c:pt>
                <c:pt idx="487">
                  <c:v>32.659999999999997</c:v>
                </c:pt>
                <c:pt idx="488">
                  <c:v>25.59</c:v>
                </c:pt>
                <c:pt idx="489">
                  <c:v>27.83</c:v>
                </c:pt>
                <c:pt idx="490">
                  <c:v>17.79</c:v>
                </c:pt>
                <c:pt idx="491">
                  <c:v>19.260000000000002</c:v>
                </c:pt>
                <c:pt idx="492">
                  <c:v>30.99</c:v>
                </c:pt>
                <c:pt idx="493">
                  <c:v>30.77</c:v>
                </c:pt>
                <c:pt idx="494">
                  <c:v>50.65</c:v>
                </c:pt>
                <c:pt idx="495">
                  <c:v>33.94</c:v>
                </c:pt>
                <c:pt idx="496">
                  <c:v>29.78</c:v>
                </c:pt>
                <c:pt idx="497">
                  <c:v>23.89</c:v>
                </c:pt>
                <c:pt idx="498">
                  <c:v>18.53</c:v>
                </c:pt>
                <c:pt idx="499">
                  <c:v>61.79</c:v>
                </c:pt>
                <c:pt idx="500">
                  <c:v>31.49</c:v>
                </c:pt>
                <c:pt idx="501">
                  <c:v>26.63</c:v>
                </c:pt>
                <c:pt idx="502">
                  <c:v>23.19</c:v>
                </c:pt>
                <c:pt idx="503">
                  <c:v>25.62</c:v>
                </c:pt>
                <c:pt idx="504">
                  <c:v>18.48</c:v>
                </c:pt>
                <c:pt idx="505">
                  <c:v>19.760000000000002</c:v>
                </c:pt>
                <c:pt idx="506">
                  <c:v>24.3</c:v>
                </c:pt>
                <c:pt idx="507">
                  <c:v>21.89</c:v>
                </c:pt>
                <c:pt idx="508">
                  <c:v>16.29</c:v>
                </c:pt>
                <c:pt idx="509">
                  <c:v>25.5</c:v>
                </c:pt>
                <c:pt idx="510">
                  <c:v>22.37</c:v>
                </c:pt>
                <c:pt idx="511">
                  <c:v>66.25</c:v>
                </c:pt>
                <c:pt idx="512">
                  <c:v>35.69</c:v>
                </c:pt>
                <c:pt idx="513">
                  <c:v>38.22</c:v>
                </c:pt>
                <c:pt idx="514">
                  <c:v>27.12</c:v>
                </c:pt>
                <c:pt idx="515">
                  <c:v>20.23</c:v>
                </c:pt>
                <c:pt idx="516">
                  <c:v>19.02</c:v>
                </c:pt>
                <c:pt idx="517">
                  <c:v>16.149999999999999</c:v>
                </c:pt>
                <c:pt idx="518">
                  <c:v>16.48</c:v>
                </c:pt>
                <c:pt idx="519">
                  <c:v>22.04</c:v>
                </c:pt>
                <c:pt idx="520">
                  <c:v>20.149999999999999</c:v>
                </c:pt>
                <c:pt idx="521">
                  <c:v>16.079999999999998</c:v>
                </c:pt>
                <c:pt idx="522">
                  <c:v>45.89</c:v>
                </c:pt>
                <c:pt idx="523">
                  <c:v>16.82</c:v>
                </c:pt>
                <c:pt idx="524">
                  <c:v>21.01</c:v>
                </c:pt>
                <c:pt idx="525">
                  <c:v>16.350000000000001</c:v>
                </c:pt>
                <c:pt idx="526">
                  <c:v>14.37</c:v>
                </c:pt>
                <c:pt idx="527">
                  <c:v>22.6</c:v>
                </c:pt>
                <c:pt idx="528">
                  <c:v>18.809999999999999</c:v>
                </c:pt>
                <c:pt idx="529">
                  <c:v>27</c:v>
                </c:pt>
                <c:pt idx="530">
                  <c:v>34.25</c:v>
                </c:pt>
                <c:pt idx="531">
                  <c:v>35.29</c:v>
                </c:pt>
                <c:pt idx="532">
                  <c:v>57.46</c:v>
                </c:pt>
                <c:pt idx="533">
                  <c:v>63.32</c:v>
                </c:pt>
                <c:pt idx="534">
                  <c:v>46.37</c:v>
                </c:pt>
                <c:pt idx="535">
                  <c:v>28.2</c:v>
                </c:pt>
                <c:pt idx="536">
                  <c:v>7.77</c:v>
                </c:pt>
                <c:pt idx="537">
                  <c:v>20.95</c:v>
                </c:pt>
                <c:pt idx="538">
                  <c:v>26.6</c:v>
                </c:pt>
                <c:pt idx="539">
                  <c:v>48.98</c:v>
                </c:pt>
                <c:pt idx="540">
                  <c:v>45.31</c:v>
                </c:pt>
                <c:pt idx="541">
                  <c:v>23.18</c:v>
                </c:pt>
                <c:pt idx="542">
                  <c:v>45.41</c:v>
                </c:pt>
                <c:pt idx="543">
                  <c:v>41.66</c:v>
                </c:pt>
                <c:pt idx="544">
                  <c:v>24.22</c:v>
                </c:pt>
                <c:pt idx="545">
                  <c:v>31.39</c:v>
                </c:pt>
                <c:pt idx="546">
                  <c:v>15.89</c:v>
                </c:pt>
                <c:pt idx="547">
                  <c:v>28.43</c:v>
                </c:pt>
                <c:pt idx="548">
                  <c:v>28.01</c:v>
                </c:pt>
                <c:pt idx="549">
                  <c:v>22.15</c:v>
                </c:pt>
                <c:pt idx="550">
                  <c:v>35.69</c:v>
                </c:pt>
                <c:pt idx="551">
                  <c:v>30.85</c:v>
                </c:pt>
                <c:pt idx="552">
                  <c:v>39.68</c:v>
                </c:pt>
                <c:pt idx="553">
                  <c:v>65.23</c:v>
                </c:pt>
                <c:pt idx="554">
                  <c:v>60.32</c:v>
                </c:pt>
                <c:pt idx="555">
                  <c:v>26.99</c:v>
                </c:pt>
                <c:pt idx="556">
                  <c:v>23.26</c:v>
                </c:pt>
                <c:pt idx="557">
                  <c:v>19.55</c:v>
                </c:pt>
                <c:pt idx="558">
                  <c:v>22.39</c:v>
                </c:pt>
                <c:pt idx="559">
                  <c:v>23.78</c:v>
                </c:pt>
                <c:pt idx="560">
                  <c:v>41.83</c:v>
                </c:pt>
                <c:pt idx="561">
                  <c:v>40.99</c:v>
                </c:pt>
                <c:pt idx="562">
                  <c:v>23.7</c:v>
                </c:pt>
                <c:pt idx="563">
                  <c:v>22.77</c:v>
                </c:pt>
                <c:pt idx="564">
                  <c:v>15.74</c:v>
                </c:pt>
                <c:pt idx="565">
                  <c:v>26.55</c:v>
                </c:pt>
                <c:pt idx="566">
                  <c:v>18.93</c:v>
                </c:pt>
                <c:pt idx="567">
                  <c:v>18.25</c:v>
                </c:pt>
                <c:pt idx="568">
                  <c:v>19.53</c:v>
                </c:pt>
                <c:pt idx="569">
                  <c:v>26.89</c:v>
                </c:pt>
                <c:pt idx="570">
                  <c:v>18.02</c:v>
                </c:pt>
                <c:pt idx="571">
                  <c:v>49.07</c:v>
                </c:pt>
                <c:pt idx="572">
                  <c:v>34.950000000000003</c:v>
                </c:pt>
                <c:pt idx="573">
                  <c:v>56.43</c:v>
                </c:pt>
                <c:pt idx="574">
                  <c:v>42.97</c:v>
                </c:pt>
                <c:pt idx="575">
                  <c:v>35.619999999999997</c:v>
                </c:pt>
                <c:pt idx="576">
                  <c:v>63.93</c:v>
                </c:pt>
                <c:pt idx="577">
                  <c:v>48.3</c:v>
                </c:pt>
                <c:pt idx="578">
                  <c:v>58.32</c:v>
                </c:pt>
                <c:pt idx="579">
                  <c:v>67.61</c:v>
                </c:pt>
                <c:pt idx="580">
                  <c:v>31.79</c:v>
                </c:pt>
                <c:pt idx="581">
                  <c:v>44.67</c:v>
                </c:pt>
                <c:pt idx="582">
                  <c:v>29</c:v>
                </c:pt>
                <c:pt idx="583">
                  <c:v>24.71</c:v>
                </c:pt>
                <c:pt idx="584">
                  <c:v>24.97</c:v>
                </c:pt>
                <c:pt idx="585">
                  <c:v>48.47</c:v>
                </c:pt>
                <c:pt idx="586">
                  <c:v>22.13</c:v>
                </c:pt>
                <c:pt idx="587">
                  <c:v>23.76</c:v>
                </c:pt>
                <c:pt idx="588">
                  <c:v>57.74</c:v>
                </c:pt>
                <c:pt idx="589">
                  <c:v>48.46</c:v>
                </c:pt>
                <c:pt idx="590">
                  <c:v>53.64</c:v>
                </c:pt>
                <c:pt idx="591">
                  <c:v>105.82</c:v>
                </c:pt>
                <c:pt idx="592">
                  <c:v>125.49</c:v>
                </c:pt>
                <c:pt idx="593">
                  <c:v>41.5</c:v>
                </c:pt>
                <c:pt idx="594">
                  <c:v>70.66</c:v>
                </c:pt>
                <c:pt idx="595">
                  <c:v>47.28</c:v>
                </c:pt>
                <c:pt idx="596">
                  <c:v>43.63</c:v>
                </c:pt>
                <c:pt idx="597">
                  <c:v>110.57</c:v>
                </c:pt>
                <c:pt idx="598">
                  <c:v>31.78</c:v>
                </c:pt>
                <c:pt idx="599">
                  <c:v>29.15</c:v>
                </c:pt>
                <c:pt idx="600">
                  <c:v>19.850000000000001</c:v>
                </c:pt>
                <c:pt idx="601">
                  <c:v>24.07</c:v>
                </c:pt>
                <c:pt idx="602">
                  <c:v>28.13</c:v>
                </c:pt>
                <c:pt idx="603">
                  <c:v>51.55</c:v>
                </c:pt>
                <c:pt idx="604">
                  <c:v>26.68</c:v>
                </c:pt>
                <c:pt idx="605">
                  <c:v>13.16</c:v>
                </c:pt>
                <c:pt idx="606">
                  <c:v>25.95</c:v>
                </c:pt>
                <c:pt idx="607">
                  <c:v>43.43</c:v>
                </c:pt>
                <c:pt idx="608">
                  <c:v>16.23</c:v>
                </c:pt>
                <c:pt idx="609">
                  <c:v>25.6</c:v>
                </c:pt>
                <c:pt idx="610">
                  <c:v>20.85</c:v>
                </c:pt>
                <c:pt idx="611">
                  <c:v>24.9</c:v>
                </c:pt>
                <c:pt idx="612">
                  <c:v>17.32</c:v>
                </c:pt>
                <c:pt idx="613">
                  <c:v>22.99</c:v>
                </c:pt>
                <c:pt idx="614">
                  <c:v>22.59</c:v>
                </c:pt>
                <c:pt idx="615">
                  <c:v>19.600000000000001</c:v>
                </c:pt>
                <c:pt idx="616">
                  <c:v>30.79</c:v>
                </c:pt>
                <c:pt idx="617">
                  <c:v>41.12</c:v>
                </c:pt>
                <c:pt idx="618">
                  <c:v>48.76</c:v>
                </c:pt>
                <c:pt idx="619">
                  <c:v>78.58</c:v>
                </c:pt>
                <c:pt idx="620">
                  <c:v>91.99</c:v>
                </c:pt>
                <c:pt idx="621">
                  <c:v>134.18</c:v>
                </c:pt>
                <c:pt idx="622">
                  <c:v>46.05</c:v>
                </c:pt>
                <c:pt idx="623">
                  <c:v>41.56</c:v>
                </c:pt>
                <c:pt idx="624">
                  <c:v>27.61</c:v>
                </c:pt>
                <c:pt idx="625">
                  <c:v>40.68</c:v>
                </c:pt>
                <c:pt idx="626">
                  <c:v>26.08</c:v>
                </c:pt>
                <c:pt idx="627">
                  <c:v>27.79</c:v>
                </c:pt>
                <c:pt idx="628">
                  <c:v>36.49</c:v>
                </c:pt>
                <c:pt idx="629">
                  <c:v>29.06</c:v>
                </c:pt>
                <c:pt idx="630">
                  <c:v>31.38</c:v>
                </c:pt>
                <c:pt idx="631">
                  <c:v>25.67</c:v>
                </c:pt>
                <c:pt idx="632">
                  <c:v>15.2</c:v>
                </c:pt>
                <c:pt idx="633">
                  <c:v>14.12</c:v>
                </c:pt>
                <c:pt idx="634">
                  <c:v>16.36</c:v>
                </c:pt>
                <c:pt idx="635">
                  <c:v>34.51</c:v>
                </c:pt>
                <c:pt idx="636">
                  <c:v>20.25</c:v>
                </c:pt>
                <c:pt idx="637">
                  <c:v>17.53</c:v>
                </c:pt>
                <c:pt idx="638">
                  <c:v>13.31</c:v>
                </c:pt>
                <c:pt idx="639">
                  <c:v>15.79</c:v>
                </c:pt>
                <c:pt idx="640">
                  <c:v>21.36</c:v>
                </c:pt>
                <c:pt idx="641">
                  <c:v>23.14</c:v>
                </c:pt>
                <c:pt idx="642">
                  <c:v>19.63</c:v>
                </c:pt>
                <c:pt idx="643">
                  <c:v>19.89</c:v>
                </c:pt>
                <c:pt idx="644">
                  <c:v>11.44</c:v>
                </c:pt>
                <c:pt idx="645">
                  <c:v>12.71</c:v>
                </c:pt>
                <c:pt idx="646">
                  <c:v>13.1</c:v>
                </c:pt>
                <c:pt idx="647">
                  <c:v>16.5</c:v>
                </c:pt>
                <c:pt idx="648">
                  <c:v>20.61</c:v>
                </c:pt>
                <c:pt idx="649">
                  <c:v>18.260000000000002</c:v>
                </c:pt>
                <c:pt idx="650">
                  <c:v>13.86</c:v>
                </c:pt>
                <c:pt idx="651">
                  <c:v>14.32</c:v>
                </c:pt>
                <c:pt idx="652">
                  <c:v>19.46</c:v>
                </c:pt>
                <c:pt idx="653">
                  <c:v>16.3</c:v>
                </c:pt>
                <c:pt idx="654">
                  <c:v>13.75</c:v>
                </c:pt>
                <c:pt idx="655">
                  <c:v>16.54</c:v>
                </c:pt>
                <c:pt idx="656">
                  <c:v>61.65</c:v>
                </c:pt>
                <c:pt idx="657">
                  <c:v>38</c:v>
                </c:pt>
                <c:pt idx="658">
                  <c:v>30.48</c:v>
                </c:pt>
                <c:pt idx="659">
                  <c:v>24.41</c:v>
                </c:pt>
                <c:pt idx="660">
                  <c:v>20.88</c:v>
                </c:pt>
                <c:pt idx="661">
                  <c:v>22.64</c:v>
                </c:pt>
                <c:pt idx="662">
                  <c:v>28.87</c:v>
                </c:pt>
                <c:pt idx="663">
                  <c:v>25.33</c:v>
                </c:pt>
                <c:pt idx="664">
                  <c:v>17.579999999999998</c:v>
                </c:pt>
                <c:pt idx="665">
                  <c:v>47.55</c:v>
                </c:pt>
                <c:pt idx="666">
                  <c:v>25.6</c:v>
                </c:pt>
                <c:pt idx="667">
                  <c:v>73.040000000000006</c:v>
                </c:pt>
                <c:pt idx="668">
                  <c:v>38.76</c:v>
                </c:pt>
                <c:pt idx="669">
                  <c:v>96.65</c:v>
                </c:pt>
                <c:pt idx="670">
                  <c:v>46.66</c:v>
                </c:pt>
                <c:pt idx="671">
                  <c:v>30.13</c:v>
                </c:pt>
                <c:pt idx="672">
                  <c:v>31.43</c:v>
                </c:pt>
                <c:pt idx="673">
                  <c:v>21.26</c:v>
                </c:pt>
                <c:pt idx="674">
                  <c:v>24.89</c:v>
                </c:pt>
                <c:pt idx="675">
                  <c:v>30.72</c:v>
                </c:pt>
                <c:pt idx="676">
                  <c:v>21.42</c:v>
                </c:pt>
                <c:pt idx="677">
                  <c:v>17.68</c:v>
                </c:pt>
                <c:pt idx="678">
                  <c:v>14.85</c:v>
                </c:pt>
                <c:pt idx="679">
                  <c:v>20.100000000000001</c:v>
                </c:pt>
                <c:pt idx="680">
                  <c:v>21.48</c:v>
                </c:pt>
                <c:pt idx="681">
                  <c:v>23.57</c:v>
                </c:pt>
                <c:pt idx="682">
                  <c:v>19.07</c:v>
                </c:pt>
                <c:pt idx="683">
                  <c:v>18.04</c:v>
                </c:pt>
                <c:pt idx="684">
                  <c:v>12.58</c:v>
                </c:pt>
                <c:pt idx="685">
                  <c:v>22.44</c:v>
                </c:pt>
                <c:pt idx="686">
                  <c:v>13.88</c:v>
                </c:pt>
                <c:pt idx="687">
                  <c:v>14.63</c:v>
                </c:pt>
                <c:pt idx="688">
                  <c:v>13.33</c:v>
                </c:pt>
                <c:pt idx="689">
                  <c:v>15.94</c:v>
                </c:pt>
                <c:pt idx="690">
                  <c:v>10.19</c:v>
                </c:pt>
                <c:pt idx="691">
                  <c:v>12.7</c:v>
                </c:pt>
                <c:pt idx="692">
                  <c:v>10.25</c:v>
                </c:pt>
                <c:pt idx="693">
                  <c:v>11.09</c:v>
                </c:pt>
                <c:pt idx="694">
                  <c:v>17.88</c:v>
                </c:pt>
                <c:pt idx="695">
                  <c:v>20.93</c:v>
                </c:pt>
                <c:pt idx="696">
                  <c:v>11.83</c:v>
                </c:pt>
                <c:pt idx="697">
                  <c:v>13.09</c:v>
                </c:pt>
                <c:pt idx="698">
                  <c:v>10.83</c:v>
                </c:pt>
                <c:pt idx="699">
                  <c:v>20.48</c:v>
                </c:pt>
                <c:pt idx="700">
                  <c:v>28.85</c:v>
                </c:pt>
                <c:pt idx="701">
                  <c:v>29.02</c:v>
                </c:pt>
                <c:pt idx="702">
                  <c:v>16.46</c:v>
                </c:pt>
                <c:pt idx="703">
                  <c:v>23.66</c:v>
                </c:pt>
                <c:pt idx="704">
                  <c:v>18.309999999999999</c:v>
                </c:pt>
                <c:pt idx="705">
                  <c:v>44.53</c:v>
                </c:pt>
                <c:pt idx="706">
                  <c:v>47.26</c:v>
                </c:pt>
                <c:pt idx="707">
                  <c:v>24.44</c:v>
                </c:pt>
                <c:pt idx="708">
                  <c:v>14.74</c:v>
                </c:pt>
                <c:pt idx="709">
                  <c:v>15.6</c:v>
                </c:pt>
                <c:pt idx="710">
                  <c:v>14.94</c:v>
                </c:pt>
                <c:pt idx="711">
                  <c:v>9.67</c:v>
                </c:pt>
                <c:pt idx="712">
                  <c:v>18.47</c:v>
                </c:pt>
                <c:pt idx="713">
                  <c:v>11</c:v>
                </c:pt>
                <c:pt idx="714">
                  <c:v>47.18</c:v>
                </c:pt>
                <c:pt idx="715">
                  <c:v>23.58</c:v>
                </c:pt>
                <c:pt idx="716">
                  <c:v>20.36</c:v>
                </c:pt>
                <c:pt idx="717">
                  <c:v>18.16</c:v>
                </c:pt>
                <c:pt idx="718">
                  <c:v>15.42</c:v>
                </c:pt>
                <c:pt idx="719">
                  <c:v>27.69</c:v>
                </c:pt>
                <c:pt idx="720">
                  <c:v>18.850000000000001</c:v>
                </c:pt>
                <c:pt idx="721">
                  <c:v>11.19</c:v>
                </c:pt>
                <c:pt idx="722">
                  <c:v>7.86</c:v>
                </c:pt>
                <c:pt idx="723">
                  <c:v>10.74</c:v>
                </c:pt>
                <c:pt idx="724">
                  <c:v>19.420000000000002</c:v>
                </c:pt>
                <c:pt idx="725">
                  <c:v>9.94</c:v>
                </c:pt>
                <c:pt idx="726">
                  <c:v>12.49</c:v>
                </c:pt>
                <c:pt idx="727">
                  <c:v>10.59</c:v>
                </c:pt>
                <c:pt idx="728">
                  <c:v>14.84</c:v>
                </c:pt>
                <c:pt idx="729">
                  <c:v>10.48</c:v>
                </c:pt>
                <c:pt idx="730">
                  <c:v>12.08</c:v>
                </c:pt>
                <c:pt idx="731">
                  <c:v>25.81</c:v>
                </c:pt>
                <c:pt idx="732">
                  <c:v>16.239999999999998</c:v>
                </c:pt>
                <c:pt idx="733">
                  <c:v>14.32</c:v>
                </c:pt>
                <c:pt idx="734">
                  <c:v>10.23</c:v>
                </c:pt>
                <c:pt idx="735">
                  <c:v>10.63</c:v>
                </c:pt>
                <c:pt idx="736">
                  <c:v>37.49</c:v>
                </c:pt>
                <c:pt idx="737">
                  <c:v>17.23</c:v>
                </c:pt>
                <c:pt idx="738">
                  <c:v>19.05</c:v>
                </c:pt>
                <c:pt idx="739">
                  <c:v>16.04</c:v>
                </c:pt>
                <c:pt idx="740">
                  <c:v>19.62</c:v>
                </c:pt>
                <c:pt idx="741">
                  <c:v>20.25</c:v>
                </c:pt>
                <c:pt idx="742">
                  <c:v>149.24</c:v>
                </c:pt>
                <c:pt idx="743">
                  <c:v>79.5</c:v>
                </c:pt>
                <c:pt idx="744">
                  <c:v>70.39</c:v>
                </c:pt>
                <c:pt idx="745">
                  <c:v>56.67</c:v>
                </c:pt>
                <c:pt idx="746">
                  <c:v>52.62</c:v>
                </c:pt>
                <c:pt idx="747">
                  <c:v>21.79</c:v>
                </c:pt>
                <c:pt idx="748">
                  <c:v>24.82</c:v>
                </c:pt>
                <c:pt idx="749">
                  <c:v>22.89</c:v>
                </c:pt>
                <c:pt idx="750">
                  <c:v>15.71</c:v>
                </c:pt>
                <c:pt idx="751">
                  <c:v>15.45</c:v>
                </c:pt>
                <c:pt idx="752">
                  <c:v>16.36</c:v>
                </c:pt>
                <c:pt idx="753">
                  <c:v>15.96</c:v>
                </c:pt>
                <c:pt idx="754">
                  <c:v>10.69</c:v>
                </c:pt>
                <c:pt idx="755">
                  <c:v>9.2200000000000006</c:v>
                </c:pt>
                <c:pt idx="756">
                  <c:v>17.510000000000002</c:v>
                </c:pt>
                <c:pt idx="757">
                  <c:v>10.37</c:v>
                </c:pt>
                <c:pt idx="758">
                  <c:v>9.74</c:v>
                </c:pt>
                <c:pt idx="759">
                  <c:v>21.18</c:v>
                </c:pt>
                <c:pt idx="760">
                  <c:v>29.22</c:v>
                </c:pt>
                <c:pt idx="761">
                  <c:v>50.16</c:v>
                </c:pt>
                <c:pt idx="762">
                  <c:v>85.41</c:v>
                </c:pt>
                <c:pt idx="763">
                  <c:v>60.29</c:v>
                </c:pt>
                <c:pt idx="764">
                  <c:v>59.06</c:v>
                </c:pt>
                <c:pt idx="765">
                  <c:v>47.82</c:v>
                </c:pt>
                <c:pt idx="766">
                  <c:v>22.52</c:v>
                </c:pt>
                <c:pt idx="767">
                  <c:v>35.54</c:v>
                </c:pt>
                <c:pt idx="768">
                  <c:v>22.33</c:v>
                </c:pt>
                <c:pt idx="769">
                  <c:v>18.93</c:v>
                </c:pt>
                <c:pt idx="770">
                  <c:v>25.91</c:v>
                </c:pt>
                <c:pt idx="771">
                  <c:v>46.28</c:v>
                </c:pt>
                <c:pt idx="772">
                  <c:v>26.64</c:v>
                </c:pt>
                <c:pt idx="773">
                  <c:v>23.2</c:v>
                </c:pt>
                <c:pt idx="774">
                  <c:v>14.34</c:v>
                </c:pt>
                <c:pt idx="775">
                  <c:v>17.84</c:v>
                </c:pt>
                <c:pt idx="776">
                  <c:v>7.02</c:v>
                </c:pt>
                <c:pt idx="777">
                  <c:v>20.27</c:v>
                </c:pt>
                <c:pt idx="778">
                  <c:v>11.52</c:v>
                </c:pt>
                <c:pt idx="779">
                  <c:v>13.43</c:v>
                </c:pt>
                <c:pt idx="780">
                  <c:v>8.1300000000000008</c:v>
                </c:pt>
                <c:pt idx="781">
                  <c:v>11.86</c:v>
                </c:pt>
                <c:pt idx="782">
                  <c:v>38.76</c:v>
                </c:pt>
                <c:pt idx="783">
                  <c:v>14.68</c:v>
                </c:pt>
                <c:pt idx="784">
                  <c:v>46.7</c:v>
                </c:pt>
                <c:pt idx="785">
                  <c:v>20.23</c:v>
                </c:pt>
                <c:pt idx="786">
                  <c:v>22.57</c:v>
                </c:pt>
                <c:pt idx="787">
                  <c:v>13.43</c:v>
                </c:pt>
                <c:pt idx="788">
                  <c:v>14.14</c:v>
                </c:pt>
                <c:pt idx="789">
                  <c:v>23.9</c:v>
                </c:pt>
                <c:pt idx="790">
                  <c:v>27.03</c:v>
                </c:pt>
                <c:pt idx="791">
                  <c:v>22.13</c:v>
                </c:pt>
                <c:pt idx="792">
                  <c:v>23.5</c:v>
                </c:pt>
                <c:pt idx="793">
                  <c:v>13</c:v>
                </c:pt>
                <c:pt idx="794">
                  <c:v>15.9</c:v>
                </c:pt>
                <c:pt idx="795">
                  <c:v>13.79</c:v>
                </c:pt>
                <c:pt idx="796">
                  <c:v>13.14</c:v>
                </c:pt>
                <c:pt idx="797">
                  <c:v>8.9</c:v>
                </c:pt>
                <c:pt idx="798">
                  <c:v>9.86</c:v>
                </c:pt>
                <c:pt idx="799">
                  <c:v>38.24</c:v>
                </c:pt>
                <c:pt idx="800">
                  <c:v>35.159999999999997</c:v>
                </c:pt>
                <c:pt idx="801">
                  <c:v>22.05</c:v>
                </c:pt>
                <c:pt idx="802">
                  <c:v>37.51</c:v>
                </c:pt>
                <c:pt idx="803">
                  <c:v>34.65</c:v>
                </c:pt>
                <c:pt idx="804">
                  <c:v>24.2</c:v>
                </c:pt>
                <c:pt idx="805">
                  <c:v>29.68</c:v>
                </c:pt>
                <c:pt idx="806">
                  <c:v>37.340000000000003</c:v>
                </c:pt>
                <c:pt idx="807">
                  <c:v>19.399999999999999</c:v>
                </c:pt>
                <c:pt idx="808">
                  <c:v>17.239999999999998</c:v>
                </c:pt>
                <c:pt idx="809">
                  <c:v>22.21</c:v>
                </c:pt>
                <c:pt idx="810">
                  <c:v>16.579999999999998</c:v>
                </c:pt>
                <c:pt idx="811">
                  <c:v>8.15</c:v>
                </c:pt>
                <c:pt idx="812">
                  <c:v>11.57</c:v>
                </c:pt>
                <c:pt idx="813">
                  <c:v>11.48</c:v>
                </c:pt>
                <c:pt idx="814">
                  <c:v>9.74</c:v>
                </c:pt>
                <c:pt idx="815">
                  <c:v>7.58</c:v>
                </c:pt>
                <c:pt idx="816">
                  <c:v>7.77</c:v>
                </c:pt>
                <c:pt idx="817">
                  <c:v>9.0500000000000007</c:v>
                </c:pt>
                <c:pt idx="818">
                  <c:v>11.23</c:v>
                </c:pt>
                <c:pt idx="819">
                  <c:v>8.9499999999999993</c:v>
                </c:pt>
                <c:pt idx="820">
                  <c:v>8.86</c:v>
                </c:pt>
                <c:pt idx="821">
                  <c:v>15.84</c:v>
                </c:pt>
                <c:pt idx="822">
                  <c:v>8.02</c:v>
                </c:pt>
                <c:pt idx="823">
                  <c:v>13.16</c:v>
                </c:pt>
                <c:pt idx="824">
                  <c:v>11.5</c:v>
                </c:pt>
                <c:pt idx="825">
                  <c:v>10.57</c:v>
                </c:pt>
                <c:pt idx="826">
                  <c:v>12.32</c:v>
                </c:pt>
                <c:pt idx="827">
                  <c:v>14.39</c:v>
                </c:pt>
                <c:pt idx="828">
                  <c:v>11.47</c:v>
                </c:pt>
                <c:pt idx="829">
                  <c:v>17.329999999999998</c:v>
                </c:pt>
                <c:pt idx="830">
                  <c:v>16.59</c:v>
                </c:pt>
                <c:pt idx="831">
                  <c:v>17.350000000000001</c:v>
                </c:pt>
                <c:pt idx="832">
                  <c:v>18.32</c:v>
                </c:pt>
                <c:pt idx="833">
                  <c:v>23.15</c:v>
                </c:pt>
                <c:pt idx="834">
                  <c:v>15.28</c:v>
                </c:pt>
                <c:pt idx="835">
                  <c:v>15.04</c:v>
                </c:pt>
                <c:pt idx="836">
                  <c:v>43.21</c:v>
                </c:pt>
                <c:pt idx="837">
                  <c:v>41.13</c:v>
                </c:pt>
                <c:pt idx="838">
                  <c:v>27.85</c:v>
                </c:pt>
                <c:pt idx="839">
                  <c:v>56.71</c:v>
                </c:pt>
                <c:pt idx="840">
                  <c:v>24.17</c:v>
                </c:pt>
                <c:pt idx="841">
                  <c:v>16.2</c:v>
                </c:pt>
                <c:pt idx="842">
                  <c:v>11.89</c:v>
                </c:pt>
                <c:pt idx="843">
                  <c:v>19.559999999999999</c:v>
                </c:pt>
                <c:pt idx="844">
                  <c:v>18.100000000000001</c:v>
                </c:pt>
                <c:pt idx="845">
                  <c:v>22.75</c:v>
                </c:pt>
                <c:pt idx="846">
                  <c:v>12.88</c:v>
                </c:pt>
                <c:pt idx="847">
                  <c:v>11.23</c:v>
                </c:pt>
                <c:pt idx="848">
                  <c:v>14.02</c:v>
                </c:pt>
                <c:pt idx="849">
                  <c:v>8.67</c:v>
                </c:pt>
                <c:pt idx="850">
                  <c:v>16.13</c:v>
                </c:pt>
                <c:pt idx="851">
                  <c:v>25.75</c:v>
                </c:pt>
                <c:pt idx="852">
                  <c:v>11.01</c:v>
                </c:pt>
                <c:pt idx="853">
                  <c:v>41.34</c:v>
                </c:pt>
                <c:pt idx="854">
                  <c:v>23.63</c:v>
                </c:pt>
                <c:pt idx="855">
                  <c:v>20.03</c:v>
                </c:pt>
                <c:pt idx="856">
                  <c:v>19.3</c:v>
                </c:pt>
                <c:pt idx="857">
                  <c:v>28.53</c:v>
                </c:pt>
                <c:pt idx="858">
                  <c:v>66.84</c:v>
                </c:pt>
                <c:pt idx="859">
                  <c:v>45.26</c:v>
                </c:pt>
                <c:pt idx="860">
                  <c:v>36.04</c:v>
                </c:pt>
                <c:pt idx="861">
                  <c:v>42.29</c:v>
                </c:pt>
                <c:pt idx="862">
                  <c:v>36.130000000000003</c:v>
                </c:pt>
                <c:pt idx="863">
                  <c:v>41.7</c:v>
                </c:pt>
                <c:pt idx="864">
                  <c:v>35.11</c:v>
                </c:pt>
                <c:pt idx="865">
                  <c:v>33</c:v>
                </c:pt>
                <c:pt idx="866">
                  <c:v>21.63</c:v>
                </c:pt>
                <c:pt idx="867">
                  <c:v>34.22</c:v>
                </c:pt>
                <c:pt idx="868">
                  <c:v>27.98</c:v>
                </c:pt>
                <c:pt idx="869">
                  <c:v>36.950000000000003</c:v>
                </c:pt>
                <c:pt idx="870">
                  <c:v>40.49</c:v>
                </c:pt>
                <c:pt idx="871">
                  <c:v>38.24</c:v>
                </c:pt>
                <c:pt idx="872">
                  <c:v>29.28</c:v>
                </c:pt>
                <c:pt idx="873">
                  <c:v>24.92</c:v>
                </c:pt>
                <c:pt idx="874">
                  <c:v>18.12</c:v>
                </c:pt>
                <c:pt idx="875">
                  <c:v>17.600000000000001</c:v>
                </c:pt>
                <c:pt idx="876">
                  <c:v>25.66</c:v>
                </c:pt>
                <c:pt idx="877">
                  <c:v>14.31</c:v>
                </c:pt>
                <c:pt idx="878">
                  <c:v>15.91</c:v>
                </c:pt>
                <c:pt idx="879">
                  <c:v>27.18</c:v>
                </c:pt>
                <c:pt idx="880">
                  <c:v>19.600000000000001</c:v>
                </c:pt>
                <c:pt idx="881">
                  <c:v>16.059999999999999</c:v>
                </c:pt>
                <c:pt idx="882">
                  <c:v>37.83</c:v>
                </c:pt>
                <c:pt idx="883">
                  <c:v>46.15</c:v>
                </c:pt>
                <c:pt idx="884">
                  <c:v>23.55</c:v>
                </c:pt>
                <c:pt idx="885">
                  <c:v>21.41</c:v>
                </c:pt>
                <c:pt idx="886">
                  <c:v>24.4</c:v>
                </c:pt>
                <c:pt idx="887">
                  <c:v>23.38</c:v>
                </c:pt>
                <c:pt idx="888">
                  <c:v>24.51</c:v>
                </c:pt>
                <c:pt idx="889">
                  <c:v>23.41</c:v>
                </c:pt>
                <c:pt idx="890">
                  <c:v>15.67</c:v>
                </c:pt>
                <c:pt idx="891">
                  <c:v>24.21</c:v>
                </c:pt>
                <c:pt idx="892">
                  <c:v>20.54</c:v>
                </c:pt>
                <c:pt idx="893">
                  <c:v>16.579999999999998</c:v>
                </c:pt>
                <c:pt idx="894">
                  <c:v>27.92</c:v>
                </c:pt>
                <c:pt idx="895">
                  <c:v>20.420000000000002</c:v>
                </c:pt>
                <c:pt idx="896">
                  <c:v>18.97</c:v>
                </c:pt>
                <c:pt idx="897">
                  <c:v>25.95</c:v>
                </c:pt>
                <c:pt idx="898">
                  <c:v>17.93</c:v>
                </c:pt>
                <c:pt idx="899">
                  <c:v>34.49</c:v>
                </c:pt>
                <c:pt idx="900">
                  <c:v>21.4</c:v>
                </c:pt>
                <c:pt idx="901">
                  <c:v>18.03</c:v>
                </c:pt>
                <c:pt idx="902">
                  <c:v>17.34</c:v>
                </c:pt>
                <c:pt idx="903">
                  <c:v>20.04</c:v>
                </c:pt>
                <c:pt idx="904">
                  <c:v>11.92</c:v>
                </c:pt>
                <c:pt idx="905">
                  <c:v>8.19</c:v>
                </c:pt>
                <c:pt idx="906">
                  <c:v>17.8</c:v>
                </c:pt>
                <c:pt idx="907">
                  <c:v>20.2</c:v>
                </c:pt>
                <c:pt idx="908">
                  <c:v>78.290000000000006</c:v>
                </c:pt>
                <c:pt idx="909">
                  <c:v>32.369999999999997</c:v>
                </c:pt>
                <c:pt idx="910">
                  <c:v>21.7</c:v>
                </c:pt>
                <c:pt idx="911">
                  <c:v>15.55</c:v>
                </c:pt>
                <c:pt idx="912">
                  <c:v>15.29</c:v>
                </c:pt>
                <c:pt idx="913">
                  <c:v>18.420000000000002</c:v>
                </c:pt>
                <c:pt idx="914">
                  <c:v>13.47</c:v>
                </c:pt>
                <c:pt idx="915">
                  <c:v>11.82</c:v>
                </c:pt>
                <c:pt idx="916">
                  <c:v>23.21</c:v>
                </c:pt>
                <c:pt idx="917">
                  <c:v>14.7</c:v>
                </c:pt>
                <c:pt idx="918">
                  <c:v>14.24</c:v>
                </c:pt>
                <c:pt idx="919">
                  <c:v>12.49</c:v>
                </c:pt>
                <c:pt idx="920">
                  <c:v>10.93</c:v>
                </c:pt>
                <c:pt idx="921">
                  <c:v>10.83</c:v>
                </c:pt>
                <c:pt idx="922">
                  <c:v>14.36</c:v>
                </c:pt>
                <c:pt idx="923">
                  <c:v>9.86</c:v>
                </c:pt>
                <c:pt idx="924">
                  <c:v>8.3699999999999992</c:v>
                </c:pt>
                <c:pt idx="925">
                  <c:v>11.09</c:v>
                </c:pt>
                <c:pt idx="926">
                  <c:v>7.42</c:v>
                </c:pt>
                <c:pt idx="927">
                  <c:v>5.0599999999999996</c:v>
                </c:pt>
                <c:pt idx="928">
                  <c:v>14.29</c:v>
                </c:pt>
                <c:pt idx="929">
                  <c:v>16.649999999999999</c:v>
                </c:pt>
                <c:pt idx="930">
                  <c:v>17.079999999999998</c:v>
                </c:pt>
                <c:pt idx="931">
                  <c:v>13.88</c:v>
                </c:pt>
                <c:pt idx="932">
                  <c:v>11.32</c:v>
                </c:pt>
                <c:pt idx="933">
                  <c:v>9.07</c:v>
                </c:pt>
                <c:pt idx="934">
                  <c:v>7.01</c:v>
                </c:pt>
                <c:pt idx="935">
                  <c:v>8.17</c:v>
                </c:pt>
                <c:pt idx="936">
                  <c:v>11.24</c:v>
                </c:pt>
                <c:pt idx="937">
                  <c:v>16.02</c:v>
                </c:pt>
                <c:pt idx="938">
                  <c:v>19.260000000000002</c:v>
                </c:pt>
                <c:pt idx="939">
                  <c:v>35.17</c:v>
                </c:pt>
                <c:pt idx="940">
                  <c:v>39.880000000000003</c:v>
                </c:pt>
                <c:pt idx="941">
                  <c:v>18.57</c:v>
                </c:pt>
                <c:pt idx="942">
                  <c:v>18.29</c:v>
                </c:pt>
                <c:pt idx="943">
                  <c:v>13.79</c:v>
                </c:pt>
                <c:pt idx="944">
                  <c:v>11.11</c:v>
                </c:pt>
                <c:pt idx="945">
                  <c:v>12.35</c:v>
                </c:pt>
                <c:pt idx="946">
                  <c:v>14.07</c:v>
                </c:pt>
                <c:pt idx="947">
                  <c:v>9.2799999999999994</c:v>
                </c:pt>
                <c:pt idx="948">
                  <c:v>13.41</c:v>
                </c:pt>
                <c:pt idx="949">
                  <c:v>11.03</c:v>
                </c:pt>
                <c:pt idx="950">
                  <c:v>11.32</c:v>
                </c:pt>
                <c:pt idx="951">
                  <c:v>9.19</c:v>
                </c:pt>
                <c:pt idx="952">
                  <c:v>15.79</c:v>
                </c:pt>
                <c:pt idx="953">
                  <c:v>16.04</c:v>
                </c:pt>
                <c:pt idx="954">
                  <c:v>9.9700000000000006</c:v>
                </c:pt>
                <c:pt idx="955">
                  <c:v>10.64</c:v>
                </c:pt>
                <c:pt idx="956">
                  <c:v>9.74</c:v>
                </c:pt>
                <c:pt idx="957">
                  <c:v>9.35</c:v>
                </c:pt>
                <c:pt idx="958">
                  <c:v>10.84</c:v>
                </c:pt>
                <c:pt idx="959">
                  <c:v>16.93</c:v>
                </c:pt>
                <c:pt idx="960">
                  <c:v>15.89</c:v>
                </c:pt>
                <c:pt idx="961">
                  <c:v>38.979999999999997</c:v>
                </c:pt>
                <c:pt idx="962">
                  <c:v>17.7</c:v>
                </c:pt>
                <c:pt idx="963">
                  <c:v>15.9</c:v>
                </c:pt>
                <c:pt idx="964">
                  <c:v>10.09</c:v>
                </c:pt>
                <c:pt idx="965">
                  <c:v>8.31</c:v>
                </c:pt>
                <c:pt idx="966">
                  <c:v>8.92</c:v>
                </c:pt>
                <c:pt idx="967">
                  <c:v>10.89</c:v>
                </c:pt>
                <c:pt idx="968">
                  <c:v>6.42</c:v>
                </c:pt>
                <c:pt idx="969">
                  <c:v>8.61</c:v>
                </c:pt>
                <c:pt idx="970">
                  <c:v>7.98</c:v>
                </c:pt>
                <c:pt idx="971">
                  <c:v>9.8800000000000008</c:v>
                </c:pt>
                <c:pt idx="972">
                  <c:v>10.42</c:v>
                </c:pt>
                <c:pt idx="973">
                  <c:v>11.36</c:v>
                </c:pt>
                <c:pt idx="974">
                  <c:v>9.34</c:v>
                </c:pt>
                <c:pt idx="975">
                  <c:v>11.35</c:v>
                </c:pt>
                <c:pt idx="976">
                  <c:v>7.76</c:v>
                </c:pt>
                <c:pt idx="977">
                  <c:v>6.96</c:v>
                </c:pt>
                <c:pt idx="978">
                  <c:v>11.36</c:v>
                </c:pt>
                <c:pt idx="979">
                  <c:v>17.829999999999998</c:v>
                </c:pt>
                <c:pt idx="980">
                  <c:v>13.25</c:v>
                </c:pt>
                <c:pt idx="981">
                  <c:v>25.76</c:v>
                </c:pt>
                <c:pt idx="982">
                  <c:v>17.47</c:v>
                </c:pt>
                <c:pt idx="983">
                  <c:v>11.97</c:v>
                </c:pt>
                <c:pt idx="984">
                  <c:v>8.09</c:v>
                </c:pt>
                <c:pt idx="985">
                  <c:v>10.91</c:v>
                </c:pt>
                <c:pt idx="986">
                  <c:v>9.41</c:v>
                </c:pt>
                <c:pt idx="987">
                  <c:v>8.7100000000000009</c:v>
                </c:pt>
                <c:pt idx="988">
                  <c:v>10.52</c:v>
                </c:pt>
                <c:pt idx="989">
                  <c:v>12.27</c:v>
                </c:pt>
                <c:pt idx="990">
                  <c:v>8.42</c:v>
                </c:pt>
                <c:pt idx="991">
                  <c:v>12.49</c:v>
                </c:pt>
                <c:pt idx="992">
                  <c:v>14.37</c:v>
                </c:pt>
                <c:pt idx="993">
                  <c:v>9.5299999999999994</c:v>
                </c:pt>
                <c:pt idx="994">
                  <c:v>20.99</c:v>
                </c:pt>
                <c:pt idx="995">
                  <c:v>24.18</c:v>
                </c:pt>
                <c:pt idx="996">
                  <c:v>22.84</c:v>
                </c:pt>
                <c:pt idx="997">
                  <c:v>16.21</c:v>
                </c:pt>
                <c:pt idx="998">
                  <c:v>9.99</c:v>
                </c:pt>
                <c:pt idx="999">
                  <c:v>15.55</c:v>
                </c:pt>
                <c:pt idx="1000">
                  <c:v>18.28</c:v>
                </c:pt>
                <c:pt idx="1001">
                  <c:v>12.43</c:v>
                </c:pt>
                <c:pt idx="1002">
                  <c:v>9.11</c:v>
                </c:pt>
                <c:pt idx="1003">
                  <c:v>8.8000000000000007</c:v>
                </c:pt>
                <c:pt idx="1004">
                  <c:v>22.24</c:v>
                </c:pt>
                <c:pt idx="1005">
                  <c:v>10.51</c:v>
                </c:pt>
                <c:pt idx="1006">
                  <c:v>9.39</c:v>
                </c:pt>
                <c:pt idx="1007">
                  <c:v>10.61</c:v>
                </c:pt>
                <c:pt idx="1008">
                  <c:v>10.34</c:v>
                </c:pt>
                <c:pt idx="1009">
                  <c:v>7.27</c:v>
                </c:pt>
                <c:pt idx="1010">
                  <c:v>6.42</c:v>
                </c:pt>
                <c:pt idx="1011">
                  <c:v>6.93</c:v>
                </c:pt>
                <c:pt idx="1012">
                  <c:v>20.89</c:v>
                </c:pt>
                <c:pt idx="1013">
                  <c:v>16.3</c:v>
                </c:pt>
                <c:pt idx="1014">
                  <c:v>18.47</c:v>
                </c:pt>
                <c:pt idx="1015">
                  <c:v>27.37</c:v>
                </c:pt>
                <c:pt idx="1016">
                  <c:v>3.17</c:v>
                </c:pt>
                <c:pt idx="1017">
                  <c:v>17.239999999999998</c:v>
                </c:pt>
                <c:pt idx="1018">
                  <c:v>18.559999999999999</c:v>
                </c:pt>
                <c:pt idx="1019">
                  <c:v>13.07</c:v>
                </c:pt>
                <c:pt idx="1020">
                  <c:v>13.83</c:v>
                </c:pt>
                <c:pt idx="1021">
                  <c:v>19.670000000000002</c:v>
                </c:pt>
                <c:pt idx="1022">
                  <c:v>16.78</c:v>
                </c:pt>
                <c:pt idx="1023">
                  <c:v>10.74</c:v>
                </c:pt>
                <c:pt idx="1024">
                  <c:v>8.39</c:v>
                </c:pt>
                <c:pt idx="1025">
                  <c:v>10.050000000000001</c:v>
                </c:pt>
                <c:pt idx="1026">
                  <c:v>20.61</c:v>
                </c:pt>
                <c:pt idx="1027">
                  <c:v>19.329999999999998</c:v>
                </c:pt>
                <c:pt idx="1028">
                  <c:v>10.95</c:v>
                </c:pt>
                <c:pt idx="1029">
                  <c:v>17.64</c:v>
                </c:pt>
                <c:pt idx="1030">
                  <c:v>15.45</c:v>
                </c:pt>
                <c:pt idx="1031">
                  <c:v>7.6</c:v>
                </c:pt>
                <c:pt idx="1032">
                  <c:v>9.99</c:v>
                </c:pt>
                <c:pt idx="1033">
                  <c:v>7.84</c:v>
                </c:pt>
                <c:pt idx="1034">
                  <c:v>9.1999999999999993</c:v>
                </c:pt>
                <c:pt idx="1035">
                  <c:v>6.5</c:v>
                </c:pt>
                <c:pt idx="1036">
                  <c:v>7.77</c:v>
                </c:pt>
                <c:pt idx="1037">
                  <c:v>8.14</c:v>
                </c:pt>
                <c:pt idx="1038">
                  <c:v>6.93</c:v>
                </c:pt>
                <c:pt idx="1039">
                  <c:v>9.9</c:v>
                </c:pt>
                <c:pt idx="1040">
                  <c:v>10.19</c:v>
                </c:pt>
                <c:pt idx="1041">
                  <c:v>22.56</c:v>
                </c:pt>
                <c:pt idx="1042">
                  <c:v>16.63</c:v>
                </c:pt>
                <c:pt idx="1043">
                  <c:v>8.39</c:v>
                </c:pt>
                <c:pt idx="1044">
                  <c:v>9.7200000000000006</c:v>
                </c:pt>
                <c:pt idx="1045">
                  <c:v>6.33</c:v>
                </c:pt>
                <c:pt idx="1046">
                  <c:v>9.81</c:v>
                </c:pt>
                <c:pt idx="1047">
                  <c:v>6.2</c:v>
                </c:pt>
                <c:pt idx="1048">
                  <c:v>8.1300000000000008</c:v>
                </c:pt>
                <c:pt idx="1049">
                  <c:v>11.21</c:v>
                </c:pt>
                <c:pt idx="1050">
                  <c:v>10.69</c:v>
                </c:pt>
                <c:pt idx="1051">
                  <c:v>7.38</c:v>
                </c:pt>
                <c:pt idx="1052">
                  <c:v>8.15</c:v>
                </c:pt>
                <c:pt idx="1053">
                  <c:v>12.43</c:v>
                </c:pt>
                <c:pt idx="1054">
                  <c:v>7.81</c:v>
                </c:pt>
                <c:pt idx="1055">
                  <c:v>5.48</c:v>
                </c:pt>
                <c:pt idx="1056">
                  <c:v>7.05</c:v>
                </c:pt>
                <c:pt idx="1057">
                  <c:v>6.58</c:v>
                </c:pt>
                <c:pt idx="1058">
                  <c:v>10.07</c:v>
                </c:pt>
                <c:pt idx="1059">
                  <c:v>9.57</c:v>
                </c:pt>
                <c:pt idx="1060">
                  <c:v>6.73</c:v>
                </c:pt>
                <c:pt idx="1061">
                  <c:v>7.74</c:v>
                </c:pt>
                <c:pt idx="1062">
                  <c:v>8.11</c:v>
                </c:pt>
                <c:pt idx="1063">
                  <c:v>6.96</c:v>
                </c:pt>
                <c:pt idx="1064">
                  <c:v>5.95</c:v>
                </c:pt>
                <c:pt idx="1065">
                  <c:v>6</c:v>
                </c:pt>
                <c:pt idx="1066">
                  <c:v>6.69</c:v>
                </c:pt>
                <c:pt idx="1067">
                  <c:v>8.17</c:v>
                </c:pt>
                <c:pt idx="1068">
                  <c:v>8.2799999999999994</c:v>
                </c:pt>
                <c:pt idx="1069">
                  <c:v>10.62</c:v>
                </c:pt>
                <c:pt idx="1070">
                  <c:v>6.95</c:v>
                </c:pt>
                <c:pt idx="1071">
                  <c:v>4.58</c:v>
                </c:pt>
                <c:pt idx="1072">
                  <c:v>6.64</c:v>
                </c:pt>
                <c:pt idx="1073">
                  <c:v>14.41</c:v>
                </c:pt>
                <c:pt idx="1074">
                  <c:v>8.25</c:v>
                </c:pt>
                <c:pt idx="1075">
                  <c:v>13.71</c:v>
                </c:pt>
                <c:pt idx="1076">
                  <c:v>12.56</c:v>
                </c:pt>
                <c:pt idx="1077">
                  <c:v>8.35</c:v>
                </c:pt>
                <c:pt idx="1078">
                  <c:v>13.1</c:v>
                </c:pt>
                <c:pt idx="1079">
                  <c:v>7.12</c:v>
                </c:pt>
                <c:pt idx="1080">
                  <c:v>12.3</c:v>
                </c:pt>
                <c:pt idx="1081">
                  <c:v>12.5</c:v>
                </c:pt>
                <c:pt idx="1082">
                  <c:v>21.04</c:v>
                </c:pt>
                <c:pt idx="1083">
                  <c:v>14.09</c:v>
                </c:pt>
                <c:pt idx="1084">
                  <c:v>17.13</c:v>
                </c:pt>
                <c:pt idx="1085">
                  <c:v>64.52</c:v>
                </c:pt>
                <c:pt idx="1086">
                  <c:v>55.75</c:v>
                </c:pt>
                <c:pt idx="1087">
                  <c:v>22.3</c:v>
                </c:pt>
                <c:pt idx="1088">
                  <c:v>25.79</c:v>
                </c:pt>
                <c:pt idx="1089">
                  <c:v>20.64</c:v>
                </c:pt>
                <c:pt idx="1090">
                  <c:v>10.42</c:v>
                </c:pt>
                <c:pt idx="1091">
                  <c:v>11.86</c:v>
                </c:pt>
                <c:pt idx="1092">
                  <c:v>10.28</c:v>
                </c:pt>
                <c:pt idx="1093">
                  <c:v>9.9</c:v>
                </c:pt>
                <c:pt idx="1094">
                  <c:v>29.13</c:v>
                </c:pt>
                <c:pt idx="1095">
                  <c:v>12.21</c:v>
                </c:pt>
                <c:pt idx="1096">
                  <c:v>9.7799999999999994</c:v>
                </c:pt>
                <c:pt idx="1097">
                  <c:v>7.67</c:v>
                </c:pt>
                <c:pt idx="1098">
                  <c:v>7.8</c:v>
                </c:pt>
                <c:pt idx="1099">
                  <c:v>8.26</c:v>
                </c:pt>
                <c:pt idx="1100">
                  <c:v>8.9600000000000009</c:v>
                </c:pt>
                <c:pt idx="1101">
                  <c:v>18.829999999999998</c:v>
                </c:pt>
                <c:pt idx="1102">
                  <c:v>12.91</c:v>
                </c:pt>
                <c:pt idx="1103">
                  <c:v>8.14</c:v>
                </c:pt>
                <c:pt idx="1104">
                  <c:v>16.37</c:v>
                </c:pt>
                <c:pt idx="1105">
                  <c:v>7.77</c:v>
                </c:pt>
                <c:pt idx="1106">
                  <c:v>5.0199999999999996</c:v>
                </c:pt>
                <c:pt idx="1107">
                  <c:v>8.18</c:v>
                </c:pt>
                <c:pt idx="1108">
                  <c:v>10.71</c:v>
                </c:pt>
                <c:pt idx="1109">
                  <c:v>8.92</c:v>
                </c:pt>
                <c:pt idx="1110">
                  <c:v>9.6300000000000008</c:v>
                </c:pt>
                <c:pt idx="1111">
                  <c:v>8.36</c:v>
                </c:pt>
                <c:pt idx="1112">
                  <c:v>8.7899999999999991</c:v>
                </c:pt>
                <c:pt idx="1113">
                  <c:v>10.23</c:v>
                </c:pt>
                <c:pt idx="1114">
                  <c:v>8.42</c:v>
                </c:pt>
                <c:pt idx="1115">
                  <c:v>15.71</c:v>
                </c:pt>
                <c:pt idx="1116">
                  <c:v>48.9</c:v>
                </c:pt>
                <c:pt idx="1117">
                  <c:v>10.119999999999999</c:v>
                </c:pt>
                <c:pt idx="1118">
                  <c:v>11.61</c:v>
                </c:pt>
                <c:pt idx="1119">
                  <c:v>4.7699999999999996</c:v>
                </c:pt>
                <c:pt idx="1120">
                  <c:v>9.75</c:v>
                </c:pt>
                <c:pt idx="1121">
                  <c:v>9.93</c:v>
                </c:pt>
                <c:pt idx="1122">
                  <c:v>10.82</c:v>
                </c:pt>
                <c:pt idx="1123">
                  <c:v>9.17</c:v>
                </c:pt>
                <c:pt idx="1124">
                  <c:v>10.16</c:v>
                </c:pt>
                <c:pt idx="1125">
                  <c:v>9.51</c:v>
                </c:pt>
                <c:pt idx="1126">
                  <c:v>7.06</c:v>
                </c:pt>
                <c:pt idx="1127">
                  <c:v>11.61</c:v>
                </c:pt>
                <c:pt idx="1128">
                  <c:v>12.9</c:v>
                </c:pt>
                <c:pt idx="1129">
                  <c:v>6.78</c:v>
                </c:pt>
                <c:pt idx="1130">
                  <c:v>18.239999999999998</c:v>
                </c:pt>
                <c:pt idx="1131">
                  <c:v>9.75</c:v>
                </c:pt>
                <c:pt idx="1132">
                  <c:v>6.06</c:v>
                </c:pt>
                <c:pt idx="1133">
                  <c:v>11.04</c:v>
                </c:pt>
                <c:pt idx="1134">
                  <c:v>9.49</c:v>
                </c:pt>
                <c:pt idx="1135">
                  <c:v>9.74</c:v>
                </c:pt>
                <c:pt idx="1136">
                  <c:v>6.67</c:v>
                </c:pt>
                <c:pt idx="1137">
                  <c:v>14.25</c:v>
                </c:pt>
                <c:pt idx="1138">
                  <c:v>5.98</c:v>
                </c:pt>
                <c:pt idx="1139">
                  <c:v>8.84</c:v>
                </c:pt>
                <c:pt idx="1140">
                  <c:v>7.62</c:v>
                </c:pt>
                <c:pt idx="1141">
                  <c:v>12.61</c:v>
                </c:pt>
                <c:pt idx="1142">
                  <c:v>12.72</c:v>
                </c:pt>
                <c:pt idx="1143">
                  <c:v>10.25</c:v>
                </c:pt>
                <c:pt idx="1144">
                  <c:v>7.33</c:v>
                </c:pt>
                <c:pt idx="1145">
                  <c:v>7.98</c:v>
                </c:pt>
                <c:pt idx="1146">
                  <c:v>12.41</c:v>
                </c:pt>
                <c:pt idx="1147">
                  <c:v>7.24</c:v>
                </c:pt>
                <c:pt idx="1148">
                  <c:v>9.99</c:v>
                </c:pt>
                <c:pt idx="1149">
                  <c:v>9.75</c:v>
                </c:pt>
                <c:pt idx="1150">
                  <c:v>15.98</c:v>
                </c:pt>
                <c:pt idx="1151">
                  <c:v>11.14</c:v>
                </c:pt>
                <c:pt idx="1152">
                  <c:v>9.15</c:v>
                </c:pt>
                <c:pt idx="1153">
                  <c:v>7.99</c:v>
                </c:pt>
                <c:pt idx="1154">
                  <c:v>9.48</c:v>
                </c:pt>
                <c:pt idx="1155">
                  <c:v>24</c:v>
                </c:pt>
                <c:pt idx="1156">
                  <c:v>25.77</c:v>
                </c:pt>
                <c:pt idx="1157">
                  <c:v>15.42</c:v>
                </c:pt>
                <c:pt idx="1158">
                  <c:v>8.73</c:v>
                </c:pt>
                <c:pt idx="1159">
                  <c:v>11.48</c:v>
                </c:pt>
                <c:pt idx="1160">
                  <c:v>18.2</c:v>
                </c:pt>
                <c:pt idx="1161">
                  <c:v>13</c:v>
                </c:pt>
                <c:pt idx="1162">
                  <c:v>19.829999999999998</c:v>
                </c:pt>
                <c:pt idx="1163">
                  <c:v>18.899999999999999</c:v>
                </c:pt>
                <c:pt idx="1164">
                  <c:v>14.27</c:v>
                </c:pt>
                <c:pt idx="1165">
                  <c:v>8.8000000000000007</c:v>
                </c:pt>
                <c:pt idx="1166">
                  <c:v>9.1999999999999993</c:v>
                </c:pt>
                <c:pt idx="1167">
                  <c:v>7.15</c:v>
                </c:pt>
                <c:pt idx="1168">
                  <c:v>6.45</c:v>
                </c:pt>
                <c:pt idx="1169">
                  <c:v>7.54</c:v>
                </c:pt>
                <c:pt idx="1170">
                  <c:v>7.02</c:v>
                </c:pt>
                <c:pt idx="1171">
                  <c:v>7.06</c:v>
                </c:pt>
                <c:pt idx="1172">
                  <c:v>8.7200000000000006</c:v>
                </c:pt>
                <c:pt idx="1173">
                  <c:v>16.11</c:v>
                </c:pt>
                <c:pt idx="1174">
                  <c:v>8.6999999999999993</c:v>
                </c:pt>
                <c:pt idx="1175">
                  <c:v>7.5</c:v>
                </c:pt>
                <c:pt idx="1176">
                  <c:v>11.73</c:v>
                </c:pt>
                <c:pt idx="1177">
                  <c:v>4.1900000000000004</c:v>
                </c:pt>
                <c:pt idx="1178">
                  <c:v>4.47</c:v>
                </c:pt>
                <c:pt idx="1179">
                  <c:v>6.06</c:v>
                </c:pt>
                <c:pt idx="1180">
                  <c:v>6.64</c:v>
                </c:pt>
                <c:pt idx="1181">
                  <c:v>6.09</c:v>
                </c:pt>
                <c:pt idx="1182">
                  <c:v>5.48</c:v>
                </c:pt>
                <c:pt idx="1183">
                  <c:v>4.87</c:v>
                </c:pt>
                <c:pt idx="1184">
                  <c:v>12.08</c:v>
                </c:pt>
                <c:pt idx="1185">
                  <c:v>9.11</c:v>
                </c:pt>
                <c:pt idx="1186">
                  <c:v>10.7</c:v>
                </c:pt>
                <c:pt idx="1187">
                  <c:v>7.73</c:v>
                </c:pt>
                <c:pt idx="1188">
                  <c:v>16.25</c:v>
                </c:pt>
                <c:pt idx="1189">
                  <c:v>9.4700000000000006</c:v>
                </c:pt>
                <c:pt idx="1190">
                  <c:v>7.32</c:v>
                </c:pt>
                <c:pt idx="1191">
                  <c:v>6.52</c:v>
                </c:pt>
                <c:pt idx="1192">
                  <c:v>8.4600000000000009</c:v>
                </c:pt>
                <c:pt idx="1193">
                  <c:v>12.34</c:v>
                </c:pt>
                <c:pt idx="1194">
                  <c:v>7.91</c:v>
                </c:pt>
                <c:pt idx="1195">
                  <c:v>5.08</c:v>
                </c:pt>
                <c:pt idx="1196">
                  <c:v>6.09</c:v>
                </c:pt>
                <c:pt idx="1197">
                  <c:v>5.35</c:v>
                </c:pt>
                <c:pt idx="1198">
                  <c:v>13.87</c:v>
                </c:pt>
                <c:pt idx="1199">
                  <c:v>20.25</c:v>
                </c:pt>
                <c:pt idx="1200">
                  <c:v>13.97</c:v>
                </c:pt>
                <c:pt idx="1201">
                  <c:v>38.979999999999997</c:v>
                </c:pt>
                <c:pt idx="1202">
                  <c:v>43.53</c:v>
                </c:pt>
                <c:pt idx="1203">
                  <c:v>18.14</c:v>
                </c:pt>
                <c:pt idx="1204">
                  <c:v>13.99</c:v>
                </c:pt>
                <c:pt idx="1205">
                  <c:v>9.98</c:v>
                </c:pt>
                <c:pt idx="1206">
                  <c:v>8.19</c:v>
                </c:pt>
                <c:pt idx="1207">
                  <c:v>6.44</c:v>
                </c:pt>
                <c:pt idx="1208">
                  <c:v>10.32</c:v>
                </c:pt>
                <c:pt idx="1209">
                  <c:v>10.62</c:v>
                </c:pt>
                <c:pt idx="1210">
                  <c:v>6.83</c:v>
                </c:pt>
                <c:pt idx="1211">
                  <c:v>9.16</c:v>
                </c:pt>
                <c:pt idx="1212">
                  <c:v>6.39</c:v>
                </c:pt>
                <c:pt idx="1213">
                  <c:v>9.76</c:v>
                </c:pt>
                <c:pt idx="1214">
                  <c:v>13.19</c:v>
                </c:pt>
                <c:pt idx="1215">
                  <c:v>11.58</c:v>
                </c:pt>
                <c:pt idx="1216">
                  <c:v>7.56</c:v>
                </c:pt>
                <c:pt idx="1217">
                  <c:v>14.92</c:v>
                </c:pt>
                <c:pt idx="1218">
                  <c:v>16.27</c:v>
                </c:pt>
                <c:pt idx="1219">
                  <c:v>19.32</c:v>
                </c:pt>
                <c:pt idx="1220">
                  <c:v>9.57</c:v>
                </c:pt>
                <c:pt idx="1221">
                  <c:v>9.85</c:v>
                </c:pt>
                <c:pt idx="1222">
                  <c:v>8.4499999999999993</c:v>
                </c:pt>
                <c:pt idx="1223">
                  <c:v>6.09</c:v>
                </c:pt>
                <c:pt idx="1224">
                  <c:v>9.27</c:v>
                </c:pt>
                <c:pt idx="1225">
                  <c:v>6.91</c:v>
                </c:pt>
                <c:pt idx="1226">
                  <c:v>9.48</c:v>
                </c:pt>
                <c:pt idx="1227">
                  <c:v>7.36</c:v>
                </c:pt>
                <c:pt idx="1228">
                  <c:v>19.899999999999999</c:v>
                </c:pt>
                <c:pt idx="1229">
                  <c:v>11.44</c:v>
                </c:pt>
                <c:pt idx="1230">
                  <c:v>13.6</c:v>
                </c:pt>
                <c:pt idx="1231">
                  <c:v>8.3800000000000008</c:v>
                </c:pt>
                <c:pt idx="1232">
                  <c:v>12.86</c:v>
                </c:pt>
                <c:pt idx="1233">
                  <c:v>8.09</c:v>
                </c:pt>
                <c:pt idx="1234">
                  <c:v>9.94</c:v>
                </c:pt>
                <c:pt idx="1235">
                  <c:v>9.32</c:v>
                </c:pt>
                <c:pt idx="1236">
                  <c:v>14.41</c:v>
                </c:pt>
                <c:pt idx="1237">
                  <c:v>11.81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C-48CC-AD04-FC2AF40B5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278799"/>
        <c:axId val="638278383"/>
      </c:barChart>
      <c:catAx>
        <c:axId val="63827879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31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278383"/>
        <c:crosses val="autoZero"/>
        <c:auto val="1"/>
        <c:lblAlgn val="ctr"/>
        <c:lblOffset val="100"/>
        <c:noMultiLvlLbl val="0"/>
      </c:catAx>
      <c:valAx>
        <c:axId val="638278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27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006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00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EE1-4087-AEBE-13F35AC8613B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E1-4087-AEBE-13F35AC8613B}"/>
              </c:ext>
            </c:extLst>
          </c:dPt>
          <c:cat>
            <c:strRef>
              <c:f>Sheet3!$H$1250:$H$1252</c:f>
              <c:strCache>
                <c:ptCount val="3"/>
                <c:pt idx="0">
                  <c:v>FIIs </c:v>
                </c:pt>
                <c:pt idx="1">
                  <c:v>DIIs </c:v>
                </c:pt>
                <c:pt idx="2">
                  <c:v>Public </c:v>
                </c:pt>
              </c:strCache>
            </c:strRef>
          </c:cat>
          <c:val>
            <c:numRef>
              <c:f>Sheet3!$I$1250:$I$1252</c:f>
              <c:numCache>
                <c:formatCode>0.00%</c:formatCode>
                <c:ptCount val="3"/>
                <c:pt idx="0">
                  <c:v>0.37390000000000001</c:v>
                </c:pt>
                <c:pt idx="1">
                  <c:v>0.47410000000000002</c:v>
                </c:pt>
                <c:pt idx="2">
                  <c:v>0.152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1-4087-AEBE-13F35AC86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7764463"/>
        <c:axId val="697766959"/>
      </c:barChart>
      <c:catAx>
        <c:axId val="69776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66959"/>
        <c:crosses val="autoZero"/>
        <c:auto val="1"/>
        <c:lblAlgn val="ctr"/>
        <c:lblOffset val="100"/>
        <c:noMultiLvlLbl val="0"/>
      </c:catAx>
      <c:valAx>
        <c:axId val="697766959"/>
        <c:scaling>
          <c:orientation val="minMax"/>
        </c:scaling>
        <c:delete val="0"/>
        <c:axPos val="b"/>
        <c:numFmt formatCode="0.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6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247594050743664E-2"/>
          <c:y val="0.15830132309005548"/>
          <c:w val="0.89853018372703408"/>
          <c:h val="0.687203296130877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Vol.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Sheet3!$B$2:$B$1246</c:f>
              <c:strCache>
                <c:ptCount val="1245"/>
                <c:pt idx="0">
                  <c:v>14-09-2018</c:v>
                </c:pt>
                <c:pt idx="1">
                  <c:v>17-09-2018</c:v>
                </c:pt>
                <c:pt idx="2">
                  <c:v>18-09-2018</c:v>
                </c:pt>
                <c:pt idx="3">
                  <c:v>19-09-2018</c:v>
                </c:pt>
                <c:pt idx="4">
                  <c:v>21-09-2018</c:v>
                </c:pt>
                <c:pt idx="5">
                  <c:v>24-09-2018</c:v>
                </c:pt>
                <c:pt idx="6">
                  <c:v>25-09-2018</c:v>
                </c:pt>
                <c:pt idx="7">
                  <c:v>26-09-2018</c:v>
                </c:pt>
                <c:pt idx="8">
                  <c:v>27-09-2018</c:v>
                </c:pt>
                <c:pt idx="9">
                  <c:v>28-09-2018</c:v>
                </c:pt>
                <c:pt idx="10">
                  <c:v>01-10-2018</c:v>
                </c:pt>
                <c:pt idx="11">
                  <c:v>03-10-2018</c:v>
                </c:pt>
                <c:pt idx="12">
                  <c:v>04-10-2018</c:v>
                </c:pt>
                <c:pt idx="13">
                  <c:v>05-10-2018</c:v>
                </c:pt>
                <c:pt idx="14">
                  <c:v>08-10-2018</c:v>
                </c:pt>
                <c:pt idx="15">
                  <c:v>09-10-2018</c:v>
                </c:pt>
                <c:pt idx="16">
                  <c:v>10-10-2018</c:v>
                </c:pt>
                <c:pt idx="17">
                  <c:v>11-10-2018</c:v>
                </c:pt>
                <c:pt idx="18">
                  <c:v>12-10-2018</c:v>
                </c:pt>
                <c:pt idx="19">
                  <c:v>15-10-2018</c:v>
                </c:pt>
                <c:pt idx="20">
                  <c:v>16-10-2018</c:v>
                </c:pt>
                <c:pt idx="21">
                  <c:v>17-10-2018</c:v>
                </c:pt>
                <c:pt idx="22">
                  <c:v>19-10-2018</c:v>
                </c:pt>
                <c:pt idx="23">
                  <c:v>22-10-2018</c:v>
                </c:pt>
                <c:pt idx="24">
                  <c:v>23-10-2018</c:v>
                </c:pt>
                <c:pt idx="25">
                  <c:v>24-10-2018</c:v>
                </c:pt>
                <c:pt idx="26">
                  <c:v>25-10-2018</c:v>
                </c:pt>
                <c:pt idx="27">
                  <c:v>26-10-2018</c:v>
                </c:pt>
                <c:pt idx="28">
                  <c:v>29-10-2018</c:v>
                </c:pt>
                <c:pt idx="29">
                  <c:v>30-10-2018</c:v>
                </c:pt>
                <c:pt idx="30">
                  <c:v>31-10-2018</c:v>
                </c:pt>
                <c:pt idx="31">
                  <c:v>01-11-2018</c:v>
                </c:pt>
                <c:pt idx="32">
                  <c:v>02-11-2018</c:v>
                </c:pt>
                <c:pt idx="33">
                  <c:v>05-11-2018</c:v>
                </c:pt>
                <c:pt idx="34">
                  <c:v>06-11-2018</c:v>
                </c:pt>
                <c:pt idx="35">
                  <c:v>07-11-2018</c:v>
                </c:pt>
                <c:pt idx="36">
                  <c:v>09-11-2018</c:v>
                </c:pt>
                <c:pt idx="37">
                  <c:v>12-11-2018</c:v>
                </c:pt>
                <c:pt idx="38">
                  <c:v>13-11-2018</c:v>
                </c:pt>
                <c:pt idx="39">
                  <c:v>14-11-2018</c:v>
                </c:pt>
                <c:pt idx="40">
                  <c:v>15-11-2018</c:v>
                </c:pt>
                <c:pt idx="41">
                  <c:v>16-11-2018</c:v>
                </c:pt>
                <c:pt idx="42">
                  <c:v>19-11-2018</c:v>
                </c:pt>
                <c:pt idx="43">
                  <c:v>20-11-2018</c:v>
                </c:pt>
                <c:pt idx="44">
                  <c:v>21-11-2018</c:v>
                </c:pt>
                <c:pt idx="45">
                  <c:v>22-11-2018</c:v>
                </c:pt>
                <c:pt idx="46">
                  <c:v>26-11-2018</c:v>
                </c:pt>
                <c:pt idx="47">
                  <c:v>27-11-2018</c:v>
                </c:pt>
                <c:pt idx="48">
                  <c:v>28-11-2018</c:v>
                </c:pt>
                <c:pt idx="49">
                  <c:v>29-11-2018</c:v>
                </c:pt>
                <c:pt idx="50">
                  <c:v>30-11-2018</c:v>
                </c:pt>
                <c:pt idx="51">
                  <c:v>03-12-2018</c:v>
                </c:pt>
                <c:pt idx="52">
                  <c:v>04-12-2018</c:v>
                </c:pt>
                <c:pt idx="53">
                  <c:v>05-12-2018</c:v>
                </c:pt>
                <c:pt idx="54">
                  <c:v>06-12-2018</c:v>
                </c:pt>
                <c:pt idx="55">
                  <c:v>07-12-2018</c:v>
                </c:pt>
                <c:pt idx="56">
                  <c:v>10-12-2018</c:v>
                </c:pt>
                <c:pt idx="57">
                  <c:v>11-12-2018</c:v>
                </c:pt>
                <c:pt idx="58">
                  <c:v>12-12-2018</c:v>
                </c:pt>
                <c:pt idx="59">
                  <c:v>13-12-2018</c:v>
                </c:pt>
                <c:pt idx="60">
                  <c:v>14-12-2018</c:v>
                </c:pt>
                <c:pt idx="61">
                  <c:v>17-12-2018</c:v>
                </c:pt>
                <c:pt idx="62">
                  <c:v>18-12-2018</c:v>
                </c:pt>
                <c:pt idx="63">
                  <c:v>19-12-2018</c:v>
                </c:pt>
                <c:pt idx="64">
                  <c:v>20-12-2018</c:v>
                </c:pt>
                <c:pt idx="65">
                  <c:v>21-12-2018</c:v>
                </c:pt>
                <c:pt idx="66">
                  <c:v>24-12-2018</c:v>
                </c:pt>
                <c:pt idx="67">
                  <c:v>26-12-2018</c:v>
                </c:pt>
                <c:pt idx="68">
                  <c:v>27-12-2018</c:v>
                </c:pt>
                <c:pt idx="69">
                  <c:v>28-12-2018</c:v>
                </c:pt>
                <c:pt idx="70">
                  <c:v>31-12-2018</c:v>
                </c:pt>
                <c:pt idx="71">
                  <c:v>01-01-2019</c:v>
                </c:pt>
                <c:pt idx="72">
                  <c:v>02-01-2019</c:v>
                </c:pt>
                <c:pt idx="73">
                  <c:v>03-01-2019</c:v>
                </c:pt>
                <c:pt idx="74">
                  <c:v>04-01-2019</c:v>
                </c:pt>
                <c:pt idx="75">
                  <c:v>07-01-2019</c:v>
                </c:pt>
                <c:pt idx="76">
                  <c:v>08-01-2019</c:v>
                </c:pt>
                <c:pt idx="77">
                  <c:v>09-01-2019</c:v>
                </c:pt>
                <c:pt idx="78">
                  <c:v>10-01-2019</c:v>
                </c:pt>
                <c:pt idx="79">
                  <c:v>11-01-2019</c:v>
                </c:pt>
                <c:pt idx="80">
                  <c:v>14-01-2019</c:v>
                </c:pt>
                <c:pt idx="81">
                  <c:v>15-01-2019</c:v>
                </c:pt>
                <c:pt idx="82">
                  <c:v>16-01-2019</c:v>
                </c:pt>
                <c:pt idx="83">
                  <c:v>17-01-2019</c:v>
                </c:pt>
                <c:pt idx="84">
                  <c:v>18-01-2019</c:v>
                </c:pt>
                <c:pt idx="85">
                  <c:v>21-01-2019</c:v>
                </c:pt>
                <c:pt idx="86">
                  <c:v>22-01-2019</c:v>
                </c:pt>
                <c:pt idx="87">
                  <c:v>23-01-2019</c:v>
                </c:pt>
                <c:pt idx="88">
                  <c:v>24-01-2019</c:v>
                </c:pt>
                <c:pt idx="89">
                  <c:v>25-01-2019</c:v>
                </c:pt>
                <c:pt idx="90">
                  <c:v>28-01-2019</c:v>
                </c:pt>
                <c:pt idx="91">
                  <c:v>29-01-2019</c:v>
                </c:pt>
                <c:pt idx="92">
                  <c:v>30-01-2019</c:v>
                </c:pt>
                <c:pt idx="93">
                  <c:v>31-01-2019</c:v>
                </c:pt>
                <c:pt idx="94">
                  <c:v>01-02-2019</c:v>
                </c:pt>
                <c:pt idx="95">
                  <c:v>04-02-2019</c:v>
                </c:pt>
                <c:pt idx="96">
                  <c:v>05-02-2019</c:v>
                </c:pt>
                <c:pt idx="97">
                  <c:v>06-02-2019</c:v>
                </c:pt>
                <c:pt idx="98">
                  <c:v>07-02-2019</c:v>
                </c:pt>
                <c:pt idx="99">
                  <c:v>08-02-2019</c:v>
                </c:pt>
                <c:pt idx="100">
                  <c:v>11-02-2019</c:v>
                </c:pt>
                <c:pt idx="101">
                  <c:v>12-02-2019</c:v>
                </c:pt>
                <c:pt idx="102">
                  <c:v>13-02-2019</c:v>
                </c:pt>
                <c:pt idx="103">
                  <c:v>14-02-2019</c:v>
                </c:pt>
                <c:pt idx="104">
                  <c:v>15-02-2019</c:v>
                </c:pt>
                <c:pt idx="105">
                  <c:v>18-02-2019</c:v>
                </c:pt>
                <c:pt idx="106">
                  <c:v>19-02-2019</c:v>
                </c:pt>
                <c:pt idx="107">
                  <c:v>20-02-2019</c:v>
                </c:pt>
                <c:pt idx="108">
                  <c:v>21-02-2019</c:v>
                </c:pt>
                <c:pt idx="109">
                  <c:v>22-02-2019</c:v>
                </c:pt>
                <c:pt idx="110">
                  <c:v>25-02-2019</c:v>
                </c:pt>
                <c:pt idx="111">
                  <c:v>26-02-2019</c:v>
                </c:pt>
                <c:pt idx="112">
                  <c:v>27-02-2019</c:v>
                </c:pt>
                <c:pt idx="113">
                  <c:v>28-02-2019</c:v>
                </c:pt>
                <c:pt idx="114">
                  <c:v>01-03-2019</c:v>
                </c:pt>
                <c:pt idx="115">
                  <c:v>05-03-2019</c:v>
                </c:pt>
                <c:pt idx="116">
                  <c:v>06-03-2019</c:v>
                </c:pt>
                <c:pt idx="117">
                  <c:v>07-03-2019</c:v>
                </c:pt>
                <c:pt idx="118">
                  <c:v>08-03-2019</c:v>
                </c:pt>
                <c:pt idx="119">
                  <c:v>11-03-2019</c:v>
                </c:pt>
                <c:pt idx="120">
                  <c:v>12-03-2019</c:v>
                </c:pt>
                <c:pt idx="121">
                  <c:v>13-03-2019</c:v>
                </c:pt>
                <c:pt idx="122">
                  <c:v>14-03-2019</c:v>
                </c:pt>
                <c:pt idx="123">
                  <c:v>15-03-2019</c:v>
                </c:pt>
                <c:pt idx="124">
                  <c:v>18-03-2019</c:v>
                </c:pt>
                <c:pt idx="125">
                  <c:v>19-03-2019</c:v>
                </c:pt>
                <c:pt idx="126">
                  <c:v>20-03-2019</c:v>
                </c:pt>
                <c:pt idx="127">
                  <c:v>22-03-2019</c:v>
                </c:pt>
                <c:pt idx="128">
                  <c:v>25-03-2019</c:v>
                </c:pt>
                <c:pt idx="129">
                  <c:v>26-03-2019</c:v>
                </c:pt>
                <c:pt idx="130">
                  <c:v>27-03-2019</c:v>
                </c:pt>
                <c:pt idx="131">
                  <c:v>28-03-2019</c:v>
                </c:pt>
                <c:pt idx="132">
                  <c:v>29-03-2019</c:v>
                </c:pt>
                <c:pt idx="133">
                  <c:v>01-04-2019</c:v>
                </c:pt>
                <c:pt idx="134">
                  <c:v>02-04-2019</c:v>
                </c:pt>
                <c:pt idx="135">
                  <c:v>03-04-2019</c:v>
                </c:pt>
                <c:pt idx="136">
                  <c:v>04-04-2019</c:v>
                </c:pt>
                <c:pt idx="137">
                  <c:v>05-04-2019</c:v>
                </c:pt>
                <c:pt idx="138">
                  <c:v>08-04-2019</c:v>
                </c:pt>
                <c:pt idx="139">
                  <c:v>09-04-2019</c:v>
                </c:pt>
                <c:pt idx="140">
                  <c:v>10-04-2019</c:v>
                </c:pt>
                <c:pt idx="141">
                  <c:v>11-04-2019</c:v>
                </c:pt>
                <c:pt idx="142">
                  <c:v>12-04-2019</c:v>
                </c:pt>
                <c:pt idx="143">
                  <c:v>15-04-2019</c:v>
                </c:pt>
                <c:pt idx="144">
                  <c:v>16-04-2019</c:v>
                </c:pt>
                <c:pt idx="145">
                  <c:v>18-04-2019</c:v>
                </c:pt>
                <c:pt idx="146">
                  <c:v>22-04-2019</c:v>
                </c:pt>
                <c:pt idx="147">
                  <c:v>23-04-2019</c:v>
                </c:pt>
                <c:pt idx="148">
                  <c:v>24-04-2019</c:v>
                </c:pt>
                <c:pt idx="149">
                  <c:v>25-04-2019</c:v>
                </c:pt>
                <c:pt idx="150">
                  <c:v>26-04-2019</c:v>
                </c:pt>
                <c:pt idx="151">
                  <c:v>30-04-2019</c:v>
                </c:pt>
                <c:pt idx="152">
                  <c:v>02-05-2019</c:v>
                </c:pt>
                <c:pt idx="153">
                  <c:v>03-05-2019</c:v>
                </c:pt>
                <c:pt idx="154">
                  <c:v>06-05-2019</c:v>
                </c:pt>
                <c:pt idx="155">
                  <c:v>07-05-2019</c:v>
                </c:pt>
                <c:pt idx="156">
                  <c:v>08-05-2019</c:v>
                </c:pt>
                <c:pt idx="157">
                  <c:v>09-05-2019</c:v>
                </c:pt>
                <c:pt idx="158">
                  <c:v>10-05-2019</c:v>
                </c:pt>
                <c:pt idx="159">
                  <c:v>13-05-2019</c:v>
                </c:pt>
                <c:pt idx="160">
                  <c:v>14-05-2019</c:v>
                </c:pt>
                <c:pt idx="161">
                  <c:v>15-05-2019</c:v>
                </c:pt>
                <c:pt idx="162">
                  <c:v>16-05-2019</c:v>
                </c:pt>
                <c:pt idx="163">
                  <c:v>17-05-2019</c:v>
                </c:pt>
                <c:pt idx="164">
                  <c:v>20-05-2019</c:v>
                </c:pt>
                <c:pt idx="165">
                  <c:v>21-05-2019</c:v>
                </c:pt>
                <c:pt idx="166">
                  <c:v>22-05-2019</c:v>
                </c:pt>
                <c:pt idx="167">
                  <c:v>23-05-2019</c:v>
                </c:pt>
                <c:pt idx="168">
                  <c:v>24-05-2019</c:v>
                </c:pt>
                <c:pt idx="169">
                  <c:v>27-05-2019</c:v>
                </c:pt>
                <c:pt idx="170">
                  <c:v>28-05-2019</c:v>
                </c:pt>
                <c:pt idx="171">
                  <c:v>29-05-2019</c:v>
                </c:pt>
                <c:pt idx="172">
                  <c:v>30-05-2019</c:v>
                </c:pt>
                <c:pt idx="173">
                  <c:v>31-05-2019</c:v>
                </c:pt>
                <c:pt idx="174">
                  <c:v>03-06-2019</c:v>
                </c:pt>
                <c:pt idx="175">
                  <c:v>04-06-2019</c:v>
                </c:pt>
                <c:pt idx="176">
                  <c:v>06-06-2019</c:v>
                </c:pt>
                <c:pt idx="177">
                  <c:v>07-06-2019</c:v>
                </c:pt>
                <c:pt idx="178">
                  <c:v>10-06-2019</c:v>
                </c:pt>
                <c:pt idx="179">
                  <c:v>11-06-2019</c:v>
                </c:pt>
                <c:pt idx="180">
                  <c:v>12-06-2019</c:v>
                </c:pt>
                <c:pt idx="181">
                  <c:v>13-06-2019</c:v>
                </c:pt>
                <c:pt idx="182">
                  <c:v>14-06-2019</c:v>
                </c:pt>
                <c:pt idx="183">
                  <c:v>17-06-2019</c:v>
                </c:pt>
                <c:pt idx="184">
                  <c:v>18-06-2019</c:v>
                </c:pt>
                <c:pt idx="185">
                  <c:v>19-06-2019</c:v>
                </c:pt>
                <c:pt idx="186">
                  <c:v>20-06-2019</c:v>
                </c:pt>
                <c:pt idx="187">
                  <c:v>21-06-2019</c:v>
                </c:pt>
                <c:pt idx="188">
                  <c:v>24-06-2019</c:v>
                </c:pt>
                <c:pt idx="189">
                  <c:v>25-06-2019</c:v>
                </c:pt>
                <c:pt idx="190">
                  <c:v>26-06-2019</c:v>
                </c:pt>
                <c:pt idx="191">
                  <c:v>27-06-2019</c:v>
                </c:pt>
                <c:pt idx="192">
                  <c:v>28-06-2019</c:v>
                </c:pt>
                <c:pt idx="193">
                  <c:v>01-07-2019</c:v>
                </c:pt>
                <c:pt idx="194">
                  <c:v>02-07-2019</c:v>
                </c:pt>
                <c:pt idx="195">
                  <c:v>03-07-2019</c:v>
                </c:pt>
                <c:pt idx="196">
                  <c:v>04-07-2019</c:v>
                </c:pt>
                <c:pt idx="197">
                  <c:v>05-07-2019</c:v>
                </c:pt>
                <c:pt idx="198">
                  <c:v>08-07-2019</c:v>
                </c:pt>
                <c:pt idx="199">
                  <c:v>09-07-2019</c:v>
                </c:pt>
                <c:pt idx="200">
                  <c:v>10-07-2019</c:v>
                </c:pt>
                <c:pt idx="201">
                  <c:v>11-07-2019</c:v>
                </c:pt>
                <c:pt idx="202">
                  <c:v>12-07-2019</c:v>
                </c:pt>
                <c:pt idx="203">
                  <c:v>15-07-2019</c:v>
                </c:pt>
                <c:pt idx="204">
                  <c:v>16-07-2019</c:v>
                </c:pt>
                <c:pt idx="205">
                  <c:v>17-07-2019</c:v>
                </c:pt>
                <c:pt idx="206">
                  <c:v>18-07-2019</c:v>
                </c:pt>
                <c:pt idx="207">
                  <c:v>19-07-2019</c:v>
                </c:pt>
                <c:pt idx="208">
                  <c:v>22-07-2019</c:v>
                </c:pt>
                <c:pt idx="209">
                  <c:v>23-07-2019</c:v>
                </c:pt>
                <c:pt idx="210">
                  <c:v>24-07-2019</c:v>
                </c:pt>
                <c:pt idx="211">
                  <c:v>25-07-2019</c:v>
                </c:pt>
                <c:pt idx="212">
                  <c:v>26-07-2019</c:v>
                </c:pt>
                <c:pt idx="213">
                  <c:v>29-07-2019</c:v>
                </c:pt>
                <c:pt idx="214">
                  <c:v>30-07-2019</c:v>
                </c:pt>
                <c:pt idx="215">
                  <c:v>31-07-2019</c:v>
                </c:pt>
                <c:pt idx="216">
                  <c:v>01-08-2019</c:v>
                </c:pt>
                <c:pt idx="217">
                  <c:v>02-08-2019</c:v>
                </c:pt>
                <c:pt idx="218">
                  <c:v>05-08-2019</c:v>
                </c:pt>
                <c:pt idx="219">
                  <c:v>06-08-2019</c:v>
                </c:pt>
                <c:pt idx="220">
                  <c:v>07-08-2019</c:v>
                </c:pt>
                <c:pt idx="221">
                  <c:v>08-08-2019</c:v>
                </c:pt>
                <c:pt idx="222">
                  <c:v>09-08-2019</c:v>
                </c:pt>
                <c:pt idx="223">
                  <c:v>13-08-2019</c:v>
                </c:pt>
                <c:pt idx="224">
                  <c:v>14-08-2019</c:v>
                </c:pt>
                <c:pt idx="225">
                  <c:v>16-08-2019</c:v>
                </c:pt>
                <c:pt idx="226">
                  <c:v>19-08-2019</c:v>
                </c:pt>
                <c:pt idx="227">
                  <c:v>20-08-2019</c:v>
                </c:pt>
                <c:pt idx="228">
                  <c:v>21-08-2019</c:v>
                </c:pt>
                <c:pt idx="229">
                  <c:v>22-08-2019</c:v>
                </c:pt>
                <c:pt idx="230">
                  <c:v>23-08-2019</c:v>
                </c:pt>
                <c:pt idx="231">
                  <c:v>26-08-2019</c:v>
                </c:pt>
                <c:pt idx="232">
                  <c:v>27-08-2019</c:v>
                </c:pt>
                <c:pt idx="233">
                  <c:v>28-08-2019</c:v>
                </c:pt>
                <c:pt idx="234">
                  <c:v>29-08-2019</c:v>
                </c:pt>
                <c:pt idx="235">
                  <c:v>30-08-2019</c:v>
                </c:pt>
                <c:pt idx="236">
                  <c:v>03-09-2019</c:v>
                </c:pt>
                <c:pt idx="237">
                  <c:v>04-09-2019</c:v>
                </c:pt>
                <c:pt idx="238">
                  <c:v>05-09-2019</c:v>
                </c:pt>
                <c:pt idx="239">
                  <c:v>06-09-2019</c:v>
                </c:pt>
                <c:pt idx="240">
                  <c:v>09-09-2019</c:v>
                </c:pt>
                <c:pt idx="241">
                  <c:v>11-09-2019</c:v>
                </c:pt>
                <c:pt idx="242">
                  <c:v>12-09-2019</c:v>
                </c:pt>
                <c:pt idx="243">
                  <c:v>13-09-2019</c:v>
                </c:pt>
                <c:pt idx="244">
                  <c:v>16-09-2019</c:v>
                </c:pt>
                <c:pt idx="245">
                  <c:v>17-09-2019</c:v>
                </c:pt>
                <c:pt idx="246">
                  <c:v>18-09-2019</c:v>
                </c:pt>
                <c:pt idx="247">
                  <c:v>19-09-2019</c:v>
                </c:pt>
                <c:pt idx="248">
                  <c:v>20-09-2019</c:v>
                </c:pt>
                <c:pt idx="249">
                  <c:v>23-09-2019</c:v>
                </c:pt>
                <c:pt idx="250">
                  <c:v>24-09-2019</c:v>
                </c:pt>
                <c:pt idx="251">
                  <c:v>25-09-2019</c:v>
                </c:pt>
                <c:pt idx="252">
                  <c:v>26-09-2019</c:v>
                </c:pt>
                <c:pt idx="253">
                  <c:v>27-09-2019</c:v>
                </c:pt>
                <c:pt idx="254">
                  <c:v>30-09-2019</c:v>
                </c:pt>
                <c:pt idx="255">
                  <c:v>01-10-2019</c:v>
                </c:pt>
                <c:pt idx="256">
                  <c:v>03-10-2019</c:v>
                </c:pt>
                <c:pt idx="257">
                  <c:v>04-10-2019</c:v>
                </c:pt>
                <c:pt idx="258">
                  <c:v>07-10-2019</c:v>
                </c:pt>
                <c:pt idx="259">
                  <c:v>09-10-2019</c:v>
                </c:pt>
                <c:pt idx="260">
                  <c:v>10-10-2019</c:v>
                </c:pt>
                <c:pt idx="261">
                  <c:v>11-10-2019</c:v>
                </c:pt>
                <c:pt idx="262">
                  <c:v>14-10-2019</c:v>
                </c:pt>
                <c:pt idx="263">
                  <c:v>15-10-2019</c:v>
                </c:pt>
                <c:pt idx="264">
                  <c:v>16-10-2019</c:v>
                </c:pt>
                <c:pt idx="265">
                  <c:v>17-10-2019</c:v>
                </c:pt>
                <c:pt idx="266">
                  <c:v>18-10-2019</c:v>
                </c:pt>
                <c:pt idx="267">
                  <c:v>22-10-2019</c:v>
                </c:pt>
                <c:pt idx="268">
                  <c:v>23-10-2019</c:v>
                </c:pt>
                <c:pt idx="269">
                  <c:v>24-10-2019</c:v>
                </c:pt>
                <c:pt idx="270">
                  <c:v>25-10-2019</c:v>
                </c:pt>
                <c:pt idx="271">
                  <c:v>27-10-2019</c:v>
                </c:pt>
                <c:pt idx="272">
                  <c:v>29-10-2019</c:v>
                </c:pt>
                <c:pt idx="273">
                  <c:v>30-10-2019</c:v>
                </c:pt>
                <c:pt idx="274">
                  <c:v>31-10-2019</c:v>
                </c:pt>
                <c:pt idx="275">
                  <c:v>01-11-2019</c:v>
                </c:pt>
                <c:pt idx="276">
                  <c:v>04-11-2019</c:v>
                </c:pt>
                <c:pt idx="277">
                  <c:v>05-11-2019</c:v>
                </c:pt>
                <c:pt idx="278">
                  <c:v>06-11-2019</c:v>
                </c:pt>
                <c:pt idx="279">
                  <c:v>07-11-2019</c:v>
                </c:pt>
                <c:pt idx="280">
                  <c:v>08-11-2019</c:v>
                </c:pt>
                <c:pt idx="281">
                  <c:v>11-11-2019</c:v>
                </c:pt>
                <c:pt idx="282">
                  <c:v>13-11-2019</c:v>
                </c:pt>
                <c:pt idx="283">
                  <c:v>14-11-2019</c:v>
                </c:pt>
                <c:pt idx="284">
                  <c:v>15-11-2019</c:v>
                </c:pt>
                <c:pt idx="285">
                  <c:v>18-11-2019</c:v>
                </c:pt>
                <c:pt idx="286">
                  <c:v>19-11-2019</c:v>
                </c:pt>
                <c:pt idx="287">
                  <c:v>20-11-2019</c:v>
                </c:pt>
                <c:pt idx="288">
                  <c:v>21-11-2019</c:v>
                </c:pt>
                <c:pt idx="289">
                  <c:v>22-11-2019</c:v>
                </c:pt>
                <c:pt idx="290">
                  <c:v>25-11-2019</c:v>
                </c:pt>
                <c:pt idx="291">
                  <c:v>26-11-2019</c:v>
                </c:pt>
                <c:pt idx="292">
                  <c:v>27-11-2019</c:v>
                </c:pt>
                <c:pt idx="293">
                  <c:v>28-11-2019</c:v>
                </c:pt>
                <c:pt idx="294">
                  <c:v>29-11-2019</c:v>
                </c:pt>
                <c:pt idx="295">
                  <c:v>02-12-2019</c:v>
                </c:pt>
                <c:pt idx="296">
                  <c:v>03-12-2019</c:v>
                </c:pt>
                <c:pt idx="297">
                  <c:v>04-12-2019</c:v>
                </c:pt>
                <c:pt idx="298">
                  <c:v>05-12-2019</c:v>
                </c:pt>
                <c:pt idx="299">
                  <c:v>06-12-2019</c:v>
                </c:pt>
                <c:pt idx="300">
                  <c:v>09-12-2019</c:v>
                </c:pt>
                <c:pt idx="301">
                  <c:v>10-12-2019</c:v>
                </c:pt>
                <c:pt idx="302">
                  <c:v>11-12-2019</c:v>
                </c:pt>
                <c:pt idx="303">
                  <c:v>12-12-2019</c:v>
                </c:pt>
                <c:pt idx="304">
                  <c:v>13-12-2019</c:v>
                </c:pt>
                <c:pt idx="305">
                  <c:v>16-12-2019</c:v>
                </c:pt>
                <c:pt idx="306">
                  <c:v>17-12-2019</c:v>
                </c:pt>
                <c:pt idx="307">
                  <c:v>18-12-2019</c:v>
                </c:pt>
                <c:pt idx="308">
                  <c:v>19-12-2019</c:v>
                </c:pt>
                <c:pt idx="309">
                  <c:v>20-12-2019</c:v>
                </c:pt>
                <c:pt idx="310">
                  <c:v>23-12-2019</c:v>
                </c:pt>
                <c:pt idx="311">
                  <c:v>24-12-2019</c:v>
                </c:pt>
                <c:pt idx="312">
                  <c:v>26-12-2019</c:v>
                </c:pt>
                <c:pt idx="313">
                  <c:v>27-12-2019</c:v>
                </c:pt>
                <c:pt idx="314">
                  <c:v>30-12-2019</c:v>
                </c:pt>
                <c:pt idx="315">
                  <c:v>31-12-2019</c:v>
                </c:pt>
                <c:pt idx="316">
                  <c:v>01-01-2020</c:v>
                </c:pt>
                <c:pt idx="317">
                  <c:v>02-01-2020</c:v>
                </c:pt>
                <c:pt idx="318">
                  <c:v>03-01-2020</c:v>
                </c:pt>
                <c:pt idx="319">
                  <c:v>06-01-2020</c:v>
                </c:pt>
                <c:pt idx="320">
                  <c:v>07-01-2020</c:v>
                </c:pt>
                <c:pt idx="321">
                  <c:v>08-01-2020</c:v>
                </c:pt>
                <c:pt idx="322">
                  <c:v>09-01-2020</c:v>
                </c:pt>
                <c:pt idx="323">
                  <c:v>10-01-2020</c:v>
                </c:pt>
                <c:pt idx="324">
                  <c:v>13-01-2020</c:v>
                </c:pt>
                <c:pt idx="325">
                  <c:v>14-01-2020</c:v>
                </c:pt>
                <c:pt idx="326">
                  <c:v>15-01-2020</c:v>
                </c:pt>
                <c:pt idx="327">
                  <c:v>16-01-2020</c:v>
                </c:pt>
                <c:pt idx="328">
                  <c:v>17-01-2020</c:v>
                </c:pt>
                <c:pt idx="329">
                  <c:v>20-01-2020</c:v>
                </c:pt>
                <c:pt idx="330">
                  <c:v>21-01-2020</c:v>
                </c:pt>
                <c:pt idx="331">
                  <c:v>22-01-2020</c:v>
                </c:pt>
                <c:pt idx="332">
                  <c:v>23-01-2020</c:v>
                </c:pt>
                <c:pt idx="333">
                  <c:v>24-01-2020</c:v>
                </c:pt>
                <c:pt idx="334">
                  <c:v>27-01-2020</c:v>
                </c:pt>
                <c:pt idx="335">
                  <c:v>28-01-2020</c:v>
                </c:pt>
                <c:pt idx="336">
                  <c:v>29-01-2020</c:v>
                </c:pt>
                <c:pt idx="337">
                  <c:v>30-01-2020</c:v>
                </c:pt>
                <c:pt idx="338">
                  <c:v>31-01-2020</c:v>
                </c:pt>
                <c:pt idx="339">
                  <c:v>01-02-2020</c:v>
                </c:pt>
                <c:pt idx="340">
                  <c:v>03-02-2020</c:v>
                </c:pt>
                <c:pt idx="341">
                  <c:v>04-02-2020</c:v>
                </c:pt>
                <c:pt idx="342">
                  <c:v>05-02-2020</c:v>
                </c:pt>
                <c:pt idx="343">
                  <c:v>06-02-2020</c:v>
                </c:pt>
                <c:pt idx="344">
                  <c:v>07-02-2020</c:v>
                </c:pt>
                <c:pt idx="345">
                  <c:v>10-02-2020</c:v>
                </c:pt>
                <c:pt idx="346">
                  <c:v>11-02-2020</c:v>
                </c:pt>
                <c:pt idx="347">
                  <c:v>12-02-2020</c:v>
                </c:pt>
                <c:pt idx="348">
                  <c:v>13-02-2020</c:v>
                </c:pt>
                <c:pt idx="349">
                  <c:v>14-02-2020</c:v>
                </c:pt>
                <c:pt idx="350">
                  <c:v>17-02-2020</c:v>
                </c:pt>
                <c:pt idx="351">
                  <c:v>18-02-2020</c:v>
                </c:pt>
                <c:pt idx="352">
                  <c:v>19-02-2020</c:v>
                </c:pt>
                <c:pt idx="353">
                  <c:v>20-02-2020</c:v>
                </c:pt>
                <c:pt idx="354">
                  <c:v>24-02-2020</c:v>
                </c:pt>
                <c:pt idx="355">
                  <c:v>25-02-2020</c:v>
                </c:pt>
                <c:pt idx="356">
                  <c:v>26-02-2020</c:v>
                </c:pt>
                <c:pt idx="357">
                  <c:v>27-02-2020</c:v>
                </c:pt>
                <c:pt idx="358">
                  <c:v>28-02-2020</c:v>
                </c:pt>
                <c:pt idx="359">
                  <c:v>02-03-2020</c:v>
                </c:pt>
                <c:pt idx="360">
                  <c:v>03-03-2020</c:v>
                </c:pt>
                <c:pt idx="361">
                  <c:v>04-03-2020</c:v>
                </c:pt>
                <c:pt idx="362">
                  <c:v>05-03-2020</c:v>
                </c:pt>
                <c:pt idx="363">
                  <c:v>06-03-2020</c:v>
                </c:pt>
                <c:pt idx="364">
                  <c:v>09-03-2020</c:v>
                </c:pt>
                <c:pt idx="365">
                  <c:v>11-03-2020</c:v>
                </c:pt>
                <c:pt idx="366">
                  <c:v>12-03-2020</c:v>
                </c:pt>
                <c:pt idx="367">
                  <c:v>13-03-2020</c:v>
                </c:pt>
                <c:pt idx="368">
                  <c:v>16-03-2020</c:v>
                </c:pt>
                <c:pt idx="369">
                  <c:v>17-03-2020</c:v>
                </c:pt>
                <c:pt idx="370">
                  <c:v>18-03-2020</c:v>
                </c:pt>
                <c:pt idx="371">
                  <c:v>19-03-2020</c:v>
                </c:pt>
                <c:pt idx="372">
                  <c:v>20-03-2020</c:v>
                </c:pt>
                <c:pt idx="373">
                  <c:v>23-03-2020</c:v>
                </c:pt>
                <c:pt idx="374">
                  <c:v>24-03-2020</c:v>
                </c:pt>
                <c:pt idx="375">
                  <c:v>25-03-2020</c:v>
                </c:pt>
                <c:pt idx="376">
                  <c:v>26-03-2020</c:v>
                </c:pt>
                <c:pt idx="377">
                  <c:v>27-03-2020</c:v>
                </c:pt>
                <c:pt idx="378">
                  <c:v>30-03-2020</c:v>
                </c:pt>
                <c:pt idx="379">
                  <c:v>31-03-2020</c:v>
                </c:pt>
                <c:pt idx="380">
                  <c:v>01-04-2020</c:v>
                </c:pt>
                <c:pt idx="381">
                  <c:v>03-04-2020</c:v>
                </c:pt>
                <c:pt idx="382">
                  <c:v>07-04-2020</c:v>
                </c:pt>
                <c:pt idx="383">
                  <c:v>08-04-2020</c:v>
                </c:pt>
                <c:pt idx="384">
                  <c:v>09-04-2020</c:v>
                </c:pt>
                <c:pt idx="385">
                  <c:v>13-04-2020</c:v>
                </c:pt>
                <c:pt idx="386">
                  <c:v>15-04-2020</c:v>
                </c:pt>
                <c:pt idx="387">
                  <c:v>16-04-2020</c:v>
                </c:pt>
                <c:pt idx="388">
                  <c:v>17-04-2020</c:v>
                </c:pt>
                <c:pt idx="389">
                  <c:v>20-04-2020</c:v>
                </c:pt>
                <c:pt idx="390">
                  <c:v>21-04-2020</c:v>
                </c:pt>
                <c:pt idx="391">
                  <c:v>22-04-2020</c:v>
                </c:pt>
                <c:pt idx="392">
                  <c:v>23-04-2020</c:v>
                </c:pt>
                <c:pt idx="393">
                  <c:v>24-04-2020</c:v>
                </c:pt>
                <c:pt idx="394">
                  <c:v>27-04-2020</c:v>
                </c:pt>
                <c:pt idx="395">
                  <c:v>28-04-2020</c:v>
                </c:pt>
                <c:pt idx="396">
                  <c:v>29-04-2020</c:v>
                </c:pt>
                <c:pt idx="397">
                  <c:v>30-04-2020</c:v>
                </c:pt>
                <c:pt idx="398">
                  <c:v>04-05-2020</c:v>
                </c:pt>
                <c:pt idx="399">
                  <c:v>05-05-2020</c:v>
                </c:pt>
                <c:pt idx="400">
                  <c:v>06-05-2020</c:v>
                </c:pt>
                <c:pt idx="401">
                  <c:v>07-05-2020</c:v>
                </c:pt>
                <c:pt idx="402">
                  <c:v>08-05-2020</c:v>
                </c:pt>
                <c:pt idx="403">
                  <c:v>11-05-2020</c:v>
                </c:pt>
                <c:pt idx="404">
                  <c:v>12-05-2020</c:v>
                </c:pt>
                <c:pt idx="405">
                  <c:v>13-05-2020</c:v>
                </c:pt>
                <c:pt idx="406">
                  <c:v>14-05-2020</c:v>
                </c:pt>
                <c:pt idx="407">
                  <c:v>15-05-2020</c:v>
                </c:pt>
                <c:pt idx="408">
                  <c:v>18-05-2020</c:v>
                </c:pt>
                <c:pt idx="409">
                  <c:v>19-05-2020</c:v>
                </c:pt>
                <c:pt idx="410">
                  <c:v>20-05-2020</c:v>
                </c:pt>
                <c:pt idx="411">
                  <c:v>21-05-2020</c:v>
                </c:pt>
                <c:pt idx="412">
                  <c:v>22-05-2020</c:v>
                </c:pt>
                <c:pt idx="413">
                  <c:v>26-05-2020</c:v>
                </c:pt>
                <c:pt idx="414">
                  <c:v>27-05-2020</c:v>
                </c:pt>
                <c:pt idx="415">
                  <c:v>28-05-2020</c:v>
                </c:pt>
                <c:pt idx="416">
                  <c:v>29-05-2020</c:v>
                </c:pt>
                <c:pt idx="417">
                  <c:v>01-06-2020</c:v>
                </c:pt>
                <c:pt idx="418">
                  <c:v>02-06-2020</c:v>
                </c:pt>
                <c:pt idx="419">
                  <c:v>03-06-2020</c:v>
                </c:pt>
                <c:pt idx="420">
                  <c:v>04-06-2020</c:v>
                </c:pt>
                <c:pt idx="421">
                  <c:v>05-06-2020</c:v>
                </c:pt>
                <c:pt idx="422">
                  <c:v>08-06-2020</c:v>
                </c:pt>
                <c:pt idx="423">
                  <c:v>09-06-2020</c:v>
                </c:pt>
                <c:pt idx="424">
                  <c:v>10-06-2020</c:v>
                </c:pt>
                <c:pt idx="425">
                  <c:v>11-06-2020</c:v>
                </c:pt>
                <c:pt idx="426">
                  <c:v>12-06-2020</c:v>
                </c:pt>
                <c:pt idx="427">
                  <c:v>15-06-2020</c:v>
                </c:pt>
                <c:pt idx="428">
                  <c:v>16-06-2020</c:v>
                </c:pt>
                <c:pt idx="429">
                  <c:v>17-06-2020</c:v>
                </c:pt>
                <c:pt idx="430">
                  <c:v>18-06-2020</c:v>
                </c:pt>
                <c:pt idx="431">
                  <c:v>19-06-2020</c:v>
                </c:pt>
                <c:pt idx="432">
                  <c:v>22-06-2020</c:v>
                </c:pt>
                <c:pt idx="433">
                  <c:v>23-06-2020</c:v>
                </c:pt>
                <c:pt idx="434">
                  <c:v>24-06-2020</c:v>
                </c:pt>
                <c:pt idx="435">
                  <c:v>25-06-2020</c:v>
                </c:pt>
                <c:pt idx="436">
                  <c:v>26-06-2020</c:v>
                </c:pt>
                <c:pt idx="437">
                  <c:v>29-06-2020</c:v>
                </c:pt>
                <c:pt idx="438">
                  <c:v>30-06-2020</c:v>
                </c:pt>
                <c:pt idx="439">
                  <c:v>01-07-2020</c:v>
                </c:pt>
                <c:pt idx="440">
                  <c:v>02-07-2020</c:v>
                </c:pt>
                <c:pt idx="441">
                  <c:v>03-07-2020</c:v>
                </c:pt>
                <c:pt idx="442">
                  <c:v>06-07-2020</c:v>
                </c:pt>
                <c:pt idx="443">
                  <c:v>07-07-2020</c:v>
                </c:pt>
                <c:pt idx="444">
                  <c:v>08-07-2020</c:v>
                </c:pt>
                <c:pt idx="445">
                  <c:v>09-07-2020</c:v>
                </c:pt>
                <c:pt idx="446">
                  <c:v>10-07-2020</c:v>
                </c:pt>
                <c:pt idx="447">
                  <c:v>13-07-2020</c:v>
                </c:pt>
                <c:pt idx="448">
                  <c:v>14-07-2020</c:v>
                </c:pt>
                <c:pt idx="449">
                  <c:v>15-07-2020</c:v>
                </c:pt>
                <c:pt idx="450">
                  <c:v>16-07-2020</c:v>
                </c:pt>
                <c:pt idx="451">
                  <c:v>17-07-2020</c:v>
                </c:pt>
                <c:pt idx="452">
                  <c:v>20-07-2020</c:v>
                </c:pt>
                <c:pt idx="453">
                  <c:v>21-07-2020</c:v>
                </c:pt>
                <c:pt idx="454">
                  <c:v>22-07-2020</c:v>
                </c:pt>
                <c:pt idx="455">
                  <c:v>23-07-2020</c:v>
                </c:pt>
                <c:pt idx="456">
                  <c:v>24-07-2020</c:v>
                </c:pt>
                <c:pt idx="457">
                  <c:v>27-07-2020</c:v>
                </c:pt>
                <c:pt idx="458">
                  <c:v>28-07-2020</c:v>
                </c:pt>
                <c:pt idx="459">
                  <c:v>29-07-2020</c:v>
                </c:pt>
                <c:pt idx="460">
                  <c:v>30-07-2020</c:v>
                </c:pt>
                <c:pt idx="461">
                  <c:v>31-07-2020</c:v>
                </c:pt>
                <c:pt idx="462">
                  <c:v>03-08-2020</c:v>
                </c:pt>
                <c:pt idx="463">
                  <c:v>04-08-2020</c:v>
                </c:pt>
                <c:pt idx="464">
                  <c:v>05-08-2020</c:v>
                </c:pt>
                <c:pt idx="465">
                  <c:v>06-08-2020</c:v>
                </c:pt>
                <c:pt idx="466">
                  <c:v>07-08-2020</c:v>
                </c:pt>
                <c:pt idx="467">
                  <c:v>10-08-2020</c:v>
                </c:pt>
                <c:pt idx="468">
                  <c:v>11-08-2020</c:v>
                </c:pt>
                <c:pt idx="469">
                  <c:v>12-08-2020</c:v>
                </c:pt>
                <c:pt idx="470">
                  <c:v>13-08-2020</c:v>
                </c:pt>
                <c:pt idx="471">
                  <c:v>14-08-2020</c:v>
                </c:pt>
                <c:pt idx="472">
                  <c:v>17-08-2020</c:v>
                </c:pt>
                <c:pt idx="473">
                  <c:v>18-08-2020</c:v>
                </c:pt>
                <c:pt idx="474">
                  <c:v>19-08-2020</c:v>
                </c:pt>
                <c:pt idx="475">
                  <c:v>20-08-2020</c:v>
                </c:pt>
                <c:pt idx="476">
                  <c:v>21-08-2020</c:v>
                </c:pt>
                <c:pt idx="477">
                  <c:v>24-08-2020</c:v>
                </c:pt>
                <c:pt idx="478">
                  <c:v>25-08-2020</c:v>
                </c:pt>
                <c:pt idx="479">
                  <c:v>26-08-2020</c:v>
                </c:pt>
                <c:pt idx="480">
                  <c:v>27-08-2020</c:v>
                </c:pt>
                <c:pt idx="481">
                  <c:v>28-08-2020</c:v>
                </c:pt>
                <c:pt idx="482">
                  <c:v>31-08-2020</c:v>
                </c:pt>
                <c:pt idx="483">
                  <c:v>01-09-2020</c:v>
                </c:pt>
                <c:pt idx="484">
                  <c:v>02-09-2020</c:v>
                </c:pt>
                <c:pt idx="485">
                  <c:v>03-09-2020</c:v>
                </c:pt>
                <c:pt idx="486">
                  <c:v>04-09-2020</c:v>
                </c:pt>
                <c:pt idx="487">
                  <c:v>07-09-2020</c:v>
                </c:pt>
                <c:pt idx="488">
                  <c:v>08-09-2020</c:v>
                </c:pt>
                <c:pt idx="489">
                  <c:v>09-09-2020</c:v>
                </c:pt>
                <c:pt idx="490">
                  <c:v>10-09-2020</c:v>
                </c:pt>
                <c:pt idx="491">
                  <c:v>11-09-2020</c:v>
                </c:pt>
                <c:pt idx="492">
                  <c:v>14-09-2020</c:v>
                </c:pt>
                <c:pt idx="493">
                  <c:v>15-09-2020</c:v>
                </c:pt>
                <c:pt idx="494">
                  <c:v>16-09-2020</c:v>
                </c:pt>
                <c:pt idx="495">
                  <c:v>17-09-2020</c:v>
                </c:pt>
                <c:pt idx="496">
                  <c:v>18-09-2020</c:v>
                </c:pt>
                <c:pt idx="497">
                  <c:v>21-09-2020</c:v>
                </c:pt>
                <c:pt idx="498">
                  <c:v>22-09-2020</c:v>
                </c:pt>
                <c:pt idx="499">
                  <c:v>23-09-2020</c:v>
                </c:pt>
                <c:pt idx="500">
                  <c:v>24-09-2020</c:v>
                </c:pt>
                <c:pt idx="501">
                  <c:v>25-09-2020</c:v>
                </c:pt>
                <c:pt idx="502">
                  <c:v>28-09-2020</c:v>
                </c:pt>
                <c:pt idx="503">
                  <c:v>29-09-2020</c:v>
                </c:pt>
                <c:pt idx="504">
                  <c:v>30-09-2020</c:v>
                </c:pt>
                <c:pt idx="505">
                  <c:v>01-10-2020</c:v>
                </c:pt>
                <c:pt idx="506">
                  <c:v>05-10-2020</c:v>
                </c:pt>
                <c:pt idx="507">
                  <c:v>06-10-2020</c:v>
                </c:pt>
                <c:pt idx="508">
                  <c:v>07-10-2020</c:v>
                </c:pt>
                <c:pt idx="509">
                  <c:v>08-10-2020</c:v>
                </c:pt>
                <c:pt idx="510">
                  <c:v>09-10-2020</c:v>
                </c:pt>
                <c:pt idx="511">
                  <c:v>12-10-2020</c:v>
                </c:pt>
                <c:pt idx="512">
                  <c:v>13-10-2020</c:v>
                </c:pt>
                <c:pt idx="513">
                  <c:v>14-10-2020</c:v>
                </c:pt>
                <c:pt idx="514">
                  <c:v>15-10-2020</c:v>
                </c:pt>
                <c:pt idx="515">
                  <c:v>16-10-2020</c:v>
                </c:pt>
                <c:pt idx="516">
                  <c:v>19-10-2020</c:v>
                </c:pt>
                <c:pt idx="517">
                  <c:v>20-10-2020</c:v>
                </c:pt>
                <c:pt idx="518">
                  <c:v>21-10-2020</c:v>
                </c:pt>
                <c:pt idx="519">
                  <c:v>22-10-2020</c:v>
                </c:pt>
                <c:pt idx="520">
                  <c:v>23-10-2020</c:v>
                </c:pt>
                <c:pt idx="521">
                  <c:v>26-10-2020</c:v>
                </c:pt>
                <c:pt idx="522">
                  <c:v>27-10-2020</c:v>
                </c:pt>
                <c:pt idx="523">
                  <c:v>28-10-2020</c:v>
                </c:pt>
                <c:pt idx="524">
                  <c:v>29-10-2020</c:v>
                </c:pt>
                <c:pt idx="525">
                  <c:v>30-10-2020</c:v>
                </c:pt>
                <c:pt idx="526">
                  <c:v>02-11-2020</c:v>
                </c:pt>
                <c:pt idx="527">
                  <c:v>03-11-2020</c:v>
                </c:pt>
                <c:pt idx="528">
                  <c:v>04-11-2020</c:v>
                </c:pt>
                <c:pt idx="529">
                  <c:v>05-11-2020</c:v>
                </c:pt>
                <c:pt idx="530">
                  <c:v>06-11-2020</c:v>
                </c:pt>
                <c:pt idx="531">
                  <c:v>09-11-2020</c:v>
                </c:pt>
                <c:pt idx="532">
                  <c:v>10-11-2020</c:v>
                </c:pt>
                <c:pt idx="533">
                  <c:v>11-11-2020</c:v>
                </c:pt>
                <c:pt idx="534">
                  <c:v>12-11-2020</c:v>
                </c:pt>
                <c:pt idx="535">
                  <c:v>13-11-2020</c:v>
                </c:pt>
                <c:pt idx="536">
                  <c:v>14-11-2020</c:v>
                </c:pt>
                <c:pt idx="537">
                  <c:v>17-11-2020</c:v>
                </c:pt>
                <c:pt idx="538">
                  <c:v>18-11-2020</c:v>
                </c:pt>
                <c:pt idx="539">
                  <c:v>19-11-2020</c:v>
                </c:pt>
                <c:pt idx="540">
                  <c:v>20-11-2020</c:v>
                </c:pt>
                <c:pt idx="541">
                  <c:v>23-11-2020</c:v>
                </c:pt>
                <c:pt idx="542">
                  <c:v>24-11-2020</c:v>
                </c:pt>
                <c:pt idx="543">
                  <c:v>25-11-2020</c:v>
                </c:pt>
                <c:pt idx="544">
                  <c:v>26-11-2020</c:v>
                </c:pt>
                <c:pt idx="545">
                  <c:v>27-11-2020</c:v>
                </c:pt>
                <c:pt idx="546">
                  <c:v>01-12-2020</c:v>
                </c:pt>
                <c:pt idx="547">
                  <c:v>02-12-2020</c:v>
                </c:pt>
                <c:pt idx="548">
                  <c:v>03-12-2020</c:v>
                </c:pt>
                <c:pt idx="549">
                  <c:v>04-12-2020</c:v>
                </c:pt>
                <c:pt idx="550">
                  <c:v>07-12-2020</c:v>
                </c:pt>
                <c:pt idx="551">
                  <c:v>08-12-2020</c:v>
                </c:pt>
                <c:pt idx="552">
                  <c:v>09-12-2020</c:v>
                </c:pt>
                <c:pt idx="553">
                  <c:v>10-12-2020</c:v>
                </c:pt>
                <c:pt idx="554">
                  <c:v>11-12-2020</c:v>
                </c:pt>
                <c:pt idx="555">
                  <c:v>14-12-2020</c:v>
                </c:pt>
                <c:pt idx="556">
                  <c:v>15-12-2020</c:v>
                </c:pt>
                <c:pt idx="557">
                  <c:v>16-12-2020</c:v>
                </c:pt>
                <c:pt idx="558">
                  <c:v>17-12-2020</c:v>
                </c:pt>
                <c:pt idx="559">
                  <c:v>18-12-2020</c:v>
                </c:pt>
                <c:pt idx="560">
                  <c:v>21-12-2020</c:v>
                </c:pt>
                <c:pt idx="561">
                  <c:v>22-12-2020</c:v>
                </c:pt>
                <c:pt idx="562">
                  <c:v>23-12-2020</c:v>
                </c:pt>
                <c:pt idx="563">
                  <c:v>24-12-2020</c:v>
                </c:pt>
                <c:pt idx="564">
                  <c:v>28-12-2020</c:v>
                </c:pt>
                <c:pt idx="565">
                  <c:v>29-12-2020</c:v>
                </c:pt>
                <c:pt idx="566">
                  <c:v>30-12-2020</c:v>
                </c:pt>
                <c:pt idx="567">
                  <c:v>31-12-2020</c:v>
                </c:pt>
                <c:pt idx="568">
                  <c:v>01-01-2021</c:v>
                </c:pt>
                <c:pt idx="569">
                  <c:v>04-01-2021</c:v>
                </c:pt>
                <c:pt idx="570">
                  <c:v>05-01-2021</c:v>
                </c:pt>
                <c:pt idx="571">
                  <c:v>06-01-2021</c:v>
                </c:pt>
                <c:pt idx="572">
                  <c:v>07-01-2021</c:v>
                </c:pt>
                <c:pt idx="573">
                  <c:v>08-01-2021</c:v>
                </c:pt>
                <c:pt idx="574">
                  <c:v>11-01-2021</c:v>
                </c:pt>
                <c:pt idx="575">
                  <c:v>12-01-2021</c:v>
                </c:pt>
                <c:pt idx="576">
                  <c:v>13-01-2021</c:v>
                </c:pt>
                <c:pt idx="577">
                  <c:v>14-01-2021</c:v>
                </c:pt>
                <c:pt idx="578">
                  <c:v>15-01-2021</c:v>
                </c:pt>
                <c:pt idx="579">
                  <c:v>18-01-2021</c:v>
                </c:pt>
                <c:pt idx="580">
                  <c:v>19-01-2021</c:v>
                </c:pt>
                <c:pt idx="581">
                  <c:v>20-01-2021</c:v>
                </c:pt>
                <c:pt idx="582">
                  <c:v>21-01-2021</c:v>
                </c:pt>
                <c:pt idx="583">
                  <c:v>22-01-2021</c:v>
                </c:pt>
                <c:pt idx="584">
                  <c:v>25-01-2021</c:v>
                </c:pt>
                <c:pt idx="585">
                  <c:v>27-01-2021</c:v>
                </c:pt>
                <c:pt idx="586">
                  <c:v>28-01-2021</c:v>
                </c:pt>
                <c:pt idx="587">
                  <c:v>29-01-2021</c:v>
                </c:pt>
                <c:pt idx="588">
                  <c:v>01-02-2021</c:v>
                </c:pt>
                <c:pt idx="589">
                  <c:v>02-02-2021</c:v>
                </c:pt>
                <c:pt idx="590">
                  <c:v>03-02-2021</c:v>
                </c:pt>
                <c:pt idx="591">
                  <c:v>04-02-2021</c:v>
                </c:pt>
                <c:pt idx="592">
                  <c:v>05-02-2021</c:v>
                </c:pt>
                <c:pt idx="593">
                  <c:v>08-02-2021</c:v>
                </c:pt>
                <c:pt idx="594">
                  <c:v>09-02-2021</c:v>
                </c:pt>
                <c:pt idx="595">
                  <c:v>10-02-2021</c:v>
                </c:pt>
                <c:pt idx="596">
                  <c:v>11-02-2021</c:v>
                </c:pt>
                <c:pt idx="597">
                  <c:v>12-02-2021</c:v>
                </c:pt>
                <c:pt idx="598">
                  <c:v>15-02-2021</c:v>
                </c:pt>
                <c:pt idx="599">
                  <c:v>16-02-2021</c:v>
                </c:pt>
                <c:pt idx="600">
                  <c:v>17-02-2021</c:v>
                </c:pt>
                <c:pt idx="601">
                  <c:v>18-02-2021</c:v>
                </c:pt>
                <c:pt idx="602">
                  <c:v>19-02-2021</c:v>
                </c:pt>
                <c:pt idx="603">
                  <c:v>22-02-2021</c:v>
                </c:pt>
                <c:pt idx="604">
                  <c:v>23-02-2021</c:v>
                </c:pt>
                <c:pt idx="605">
                  <c:v>24-02-2021</c:v>
                </c:pt>
                <c:pt idx="606">
                  <c:v>25-02-2021</c:v>
                </c:pt>
                <c:pt idx="607">
                  <c:v>26-02-2021</c:v>
                </c:pt>
                <c:pt idx="608">
                  <c:v>01-03-2021</c:v>
                </c:pt>
                <c:pt idx="609">
                  <c:v>02-03-2021</c:v>
                </c:pt>
                <c:pt idx="610">
                  <c:v>03-03-2021</c:v>
                </c:pt>
                <c:pt idx="611">
                  <c:v>04-03-2021</c:v>
                </c:pt>
                <c:pt idx="612">
                  <c:v>05-03-2021</c:v>
                </c:pt>
                <c:pt idx="613">
                  <c:v>08-03-2021</c:v>
                </c:pt>
                <c:pt idx="614">
                  <c:v>09-03-2021</c:v>
                </c:pt>
                <c:pt idx="615">
                  <c:v>10-03-2021</c:v>
                </c:pt>
                <c:pt idx="616">
                  <c:v>12-03-2021</c:v>
                </c:pt>
                <c:pt idx="617">
                  <c:v>15-03-2021</c:v>
                </c:pt>
                <c:pt idx="618">
                  <c:v>16-03-2021</c:v>
                </c:pt>
                <c:pt idx="619">
                  <c:v>17-03-2021</c:v>
                </c:pt>
                <c:pt idx="620">
                  <c:v>18-03-2021</c:v>
                </c:pt>
                <c:pt idx="621">
                  <c:v>19-03-2021</c:v>
                </c:pt>
                <c:pt idx="622">
                  <c:v>22-03-2021</c:v>
                </c:pt>
                <c:pt idx="623">
                  <c:v>23-03-2021</c:v>
                </c:pt>
                <c:pt idx="624">
                  <c:v>24-03-2021</c:v>
                </c:pt>
                <c:pt idx="625">
                  <c:v>25-03-2021</c:v>
                </c:pt>
                <c:pt idx="626">
                  <c:v>26-03-2021</c:v>
                </c:pt>
                <c:pt idx="627">
                  <c:v>30-03-2021</c:v>
                </c:pt>
                <c:pt idx="628">
                  <c:v>31-03-2021</c:v>
                </c:pt>
                <c:pt idx="629">
                  <c:v>01-04-2021</c:v>
                </c:pt>
                <c:pt idx="630">
                  <c:v>05-04-2021</c:v>
                </c:pt>
                <c:pt idx="631">
                  <c:v>06-04-2021</c:v>
                </c:pt>
                <c:pt idx="632">
                  <c:v>07-04-2021</c:v>
                </c:pt>
                <c:pt idx="633">
                  <c:v>08-04-2021</c:v>
                </c:pt>
                <c:pt idx="634">
                  <c:v>09-04-2021</c:v>
                </c:pt>
                <c:pt idx="635">
                  <c:v>12-04-2021</c:v>
                </c:pt>
                <c:pt idx="636">
                  <c:v>13-04-2021</c:v>
                </c:pt>
                <c:pt idx="637">
                  <c:v>15-04-2021</c:v>
                </c:pt>
                <c:pt idx="638">
                  <c:v>16-04-2021</c:v>
                </c:pt>
                <c:pt idx="639">
                  <c:v>19-04-2021</c:v>
                </c:pt>
                <c:pt idx="640">
                  <c:v>20-04-2021</c:v>
                </c:pt>
                <c:pt idx="641">
                  <c:v>22-04-2021</c:v>
                </c:pt>
                <c:pt idx="642">
                  <c:v>23-04-2021</c:v>
                </c:pt>
                <c:pt idx="643">
                  <c:v>26-04-2021</c:v>
                </c:pt>
                <c:pt idx="644">
                  <c:v>27-04-2021</c:v>
                </c:pt>
                <c:pt idx="645">
                  <c:v>28-04-2021</c:v>
                </c:pt>
                <c:pt idx="646">
                  <c:v>29-04-2021</c:v>
                </c:pt>
                <c:pt idx="647">
                  <c:v>30-04-2021</c:v>
                </c:pt>
                <c:pt idx="648">
                  <c:v>03-05-2021</c:v>
                </c:pt>
                <c:pt idx="649">
                  <c:v>04-05-2021</c:v>
                </c:pt>
                <c:pt idx="650">
                  <c:v>05-05-2021</c:v>
                </c:pt>
                <c:pt idx="651">
                  <c:v>06-05-2021</c:v>
                </c:pt>
                <c:pt idx="652">
                  <c:v>07-05-2021</c:v>
                </c:pt>
                <c:pt idx="653">
                  <c:v>10-05-2021</c:v>
                </c:pt>
                <c:pt idx="654">
                  <c:v>11-05-2021</c:v>
                </c:pt>
                <c:pt idx="655">
                  <c:v>12-05-2021</c:v>
                </c:pt>
                <c:pt idx="656">
                  <c:v>14-05-2021</c:v>
                </c:pt>
                <c:pt idx="657">
                  <c:v>17-05-2021</c:v>
                </c:pt>
                <c:pt idx="658">
                  <c:v>18-05-2021</c:v>
                </c:pt>
                <c:pt idx="659">
                  <c:v>19-05-2021</c:v>
                </c:pt>
                <c:pt idx="660">
                  <c:v>20-05-2021</c:v>
                </c:pt>
                <c:pt idx="661">
                  <c:v>21-05-2021</c:v>
                </c:pt>
                <c:pt idx="662">
                  <c:v>24-05-2021</c:v>
                </c:pt>
                <c:pt idx="663">
                  <c:v>25-05-2021</c:v>
                </c:pt>
                <c:pt idx="664">
                  <c:v>26-05-2021</c:v>
                </c:pt>
                <c:pt idx="665">
                  <c:v>27-05-2021</c:v>
                </c:pt>
                <c:pt idx="666">
                  <c:v>28-05-2021</c:v>
                </c:pt>
                <c:pt idx="667">
                  <c:v>31-05-2021</c:v>
                </c:pt>
                <c:pt idx="668">
                  <c:v>01-06-2021</c:v>
                </c:pt>
                <c:pt idx="669">
                  <c:v>02-06-2021</c:v>
                </c:pt>
                <c:pt idx="670">
                  <c:v>03-06-2021</c:v>
                </c:pt>
                <c:pt idx="671">
                  <c:v>04-06-2021</c:v>
                </c:pt>
                <c:pt idx="672">
                  <c:v>07-06-2021</c:v>
                </c:pt>
                <c:pt idx="673">
                  <c:v>08-06-2021</c:v>
                </c:pt>
                <c:pt idx="674">
                  <c:v>09-06-2021</c:v>
                </c:pt>
                <c:pt idx="675">
                  <c:v>10-06-2021</c:v>
                </c:pt>
                <c:pt idx="676">
                  <c:v>11-06-2021</c:v>
                </c:pt>
                <c:pt idx="677">
                  <c:v>14-06-2021</c:v>
                </c:pt>
                <c:pt idx="678">
                  <c:v>15-06-2021</c:v>
                </c:pt>
                <c:pt idx="679">
                  <c:v>16-06-2021</c:v>
                </c:pt>
                <c:pt idx="680">
                  <c:v>17-06-2021</c:v>
                </c:pt>
                <c:pt idx="681">
                  <c:v>18-06-2021</c:v>
                </c:pt>
                <c:pt idx="682">
                  <c:v>21-06-2021</c:v>
                </c:pt>
                <c:pt idx="683">
                  <c:v>22-06-2021</c:v>
                </c:pt>
                <c:pt idx="684">
                  <c:v>23-06-2021</c:v>
                </c:pt>
                <c:pt idx="685">
                  <c:v>24-06-2021</c:v>
                </c:pt>
                <c:pt idx="686">
                  <c:v>25-06-2021</c:v>
                </c:pt>
                <c:pt idx="687">
                  <c:v>28-06-2021</c:v>
                </c:pt>
                <c:pt idx="688">
                  <c:v>29-06-2021</c:v>
                </c:pt>
                <c:pt idx="689">
                  <c:v>30-06-2021</c:v>
                </c:pt>
                <c:pt idx="690">
                  <c:v>01-07-2021</c:v>
                </c:pt>
                <c:pt idx="691">
                  <c:v>02-07-2021</c:v>
                </c:pt>
                <c:pt idx="692">
                  <c:v>05-07-2021</c:v>
                </c:pt>
                <c:pt idx="693">
                  <c:v>06-07-2021</c:v>
                </c:pt>
                <c:pt idx="694">
                  <c:v>07-07-2021</c:v>
                </c:pt>
                <c:pt idx="695">
                  <c:v>08-07-2021</c:v>
                </c:pt>
                <c:pt idx="696">
                  <c:v>09-07-2021</c:v>
                </c:pt>
                <c:pt idx="697">
                  <c:v>12-07-2021</c:v>
                </c:pt>
                <c:pt idx="698">
                  <c:v>13-07-2021</c:v>
                </c:pt>
                <c:pt idx="699">
                  <c:v>14-07-2021</c:v>
                </c:pt>
                <c:pt idx="700">
                  <c:v>15-07-2021</c:v>
                </c:pt>
                <c:pt idx="701">
                  <c:v>16-07-2021</c:v>
                </c:pt>
                <c:pt idx="702">
                  <c:v>19-07-2021</c:v>
                </c:pt>
                <c:pt idx="703">
                  <c:v>20-07-2021</c:v>
                </c:pt>
                <c:pt idx="704">
                  <c:v>22-07-2021</c:v>
                </c:pt>
                <c:pt idx="705">
                  <c:v>23-07-2021</c:v>
                </c:pt>
                <c:pt idx="706">
                  <c:v>26-07-2021</c:v>
                </c:pt>
                <c:pt idx="707">
                  <c:v>27-07-2021</c:v>
                </c:pt>
                <c:pt idx="708">
                  <c:v>28-07-2021</c:v>
                </c:pt>
                <c:pt idx="709">
                  <c:v>29-07-2021</c:v>
                </c:pt>
                <c:pt idx="710">
                  <c:v>30-07-2021</c:v>
                </c:pt>
                <c:pt idx="711">
                  <c:v>02-08-2021</c:v>
                </c:pt>
                <c:pt idx="712">
                  <c:v>03-08-2021</c:v>
                </c:pt>
                <c:pt idx="713">
                  <c:v>04-08-2021</c:v>
                </c:pt>
                <c:pt idx="714">
                  <c:v>05-08-2021</c:v>
                </c:pt>
                <c:pt idx="715">
                  <c:v>06-08-2021</c:v>
                </c:pt>
                <c:pt idx="716">
                  <c:v>09-08-2021</c:v>
                </c:pt>
                <c:pt idx="717">
                  <c:v>10-08-2021</c:v>
                </c:pt>
                <c:pt idx="718">
                  <c:v>11-08-2021</c:v>
                </c:pt>
                <c:pt idx="719">
                  <c:v>12-08-2021</c:v>
                </c:pt>
                <c:pt idx="720">
                  <c:v>13-08-2021</c:v>
                </c:pt>
                <c:pt idx="721">
                  <c:v>16-08-2021</c:v>
                </c:pt>
                <c:pt idx="722">
                  <c:v>17-08-2021</c:v>
                </c:pt>
                <c:pt idx="723">
                  <c:v>18-08-2021</c:v>
                </c:pt>
                <c:pt idx="724">
                  <c:v>20-08-2021</c:v>
                </c:pt>
                <c:pt idx="725">
                  <c:v>23-08-2021</c:v>
                </c:pt>
                <c:pt idx="726">
                  <c:v>24-08-2021</c:v>
                </c:pt>
                <c:pt idx="727">
                  <c:v>25-08-2021</c:v>
                </c:pt>
                <c:pt idx="728">
                  <c:v>26-08-2021</c:v>
                </c:pt>
                <c:pt idx="729">
                  <c:v>27-08-2021</c:v>
                </c:pt>
                <c:pt idx="730">
                  <c:v>30-08-2021</c:v>
                </c:pt>
                <c:pt idx="731">
                  <c:v>31-08-2021</c:v>
                </c:pt>
                <c:pt idx="732">
                  <c:v>01-09-2021</c:v>
                </c:pt>
                <c:pt idx="733">
                  <c:v>02-09-2021</c:v>
                </c:pt>
                <c:pt idx="734">
                  <c:v>03-09-2021</c:v>
                </c:pt>
                <c:pt idx="735">
                  <c:v>06-09-2021</c:v>
                </c:pt>
                <c:pt idx="736">
                  <c:v>07-09-2021</c:v>
                </c:pt>
                <c:pt idx="737">
                  <c:v>08-09-2021</c:v>
                </c:pt>
                <c:pt idx="738">
                  <c:v>09-09-2021</c:v>
                </c:pt>
                <c:pt idx="739">
                  <c:v>13-09-2021</c:v>
                </c:pt>
                <c:pt idx="740">
                  <c:v>14-09-2021</c:v>
                </c:pt>
                <c:pt idx="741">
                  <c:v>15-09-2021</c:v>
                </c:pt>
                <c:pt idx="742">
                  <c:v>16-09-2021</c:v>
                </c:pt>
                <c:pt idx="743">
                  <c:v>17-09-2021</c:v>
                </c:pt>
                <c:pt idx="744">
                  <c:v>20-09-2021</c:v>
                </c:pt>
                <c:pt idx="745">
                  <c:v>21-09-2021</c:v>
                </c:pt>
                <c:pt idx="746">
                  <c:v>22-09-2021</c:v>
                </c:pt>
                <c:pt idx="747">
                  <c:v>23-09-2021</c:v>
                </c:pt>
                <c:pt idx="748">
                  <c:v>24-09-2021</c:v>
                </c:pt>
                <c:pt idx="749">
                  <c:v>27-09-2021</c:v>
                </c:pt>
                <c:pt idx="750">
                  <c:v>28-09-2021</c:v>
                </c:pt>
                <c:pt idx="751">
                  <c:v>29-09-2021</c:v>
                </c:pt>
                <c:pt idx="752">
                  <c:v>30-09-2021</c:v>
                </c:pt>
                <c:pt idx="753">
                  <c:v>01-10-2021</c:v>
                </c:pt>
                <c:pt idx="754">
                  <c:v>04-10-2021</c:v>
                </c:pt>
                <c:pt idx="755">
                  <c:v>05-10-2021</c:v>
                </c:pt>
                <c:pt idx="756">
                  <c:v>06-10-2021</c:v>
                </c:pt>
                <c:pt idx="757">
                  <c:v>07-10-2021</c:v>
                </c:pt>
                <c:pt idx="758">
                  <c:v>08-10-2021</c:v>
                </c:pt>
                <c:pt idx="759">
                  <c:v>11-10-2021</c:v>
                </c:pt>
                <c:pt idx="760">
                  <c:v>12-10-2021</c:v>
                </c:pt>
                <c:pt idx="761">
                  <c:v>13-10-2021</c:v>
                </c:pt>
                <c:pt idx="762">
                  <c:v>14-10-2021</c:v>
                </c:pt>
                <c:pt idx="763">
                  <c:v>18-10-2021</c:v>
                </c:pt>
                <c:pt idx="764">
                  <c:v>19-10-2021</c:v>
                </c:pt>
                <c:pt idx="765">
                  <c:v>20-10-2021</c:v>
                </c:pt>
                <c:pt idx="766">
                  <c:v>21-10-2021</c:v>
                </c:pt>
                <c:pt idx="767">
                  <c:v>22-10-2021</c:v>
                </c:pt>
                <c:pt idx="768">
                  <c:v>25-10-2021</c:v>
                </c:pt>
                <c:pt idx="769">
                  <c:v>26-10-2021</c:v>
                </c:pt>
                <c:pt idx="770">
                  <c:v>27-10-2021</c:v>
                </c:pt>
                <c:pt idx="771">
                  <c:v>28-10-2021</c:v>
                </c:pt>
                <c:pt idx="772">
                  <c:v>29-10-2021</c:v>
                </c:pt>
                <c:pt idx="773">
                  <c:v>01-11-2021</c:v>
                </c:pt>
                <c:pt idx="774">
                  <c:v>02-11-2021</c:v>
                </c:pt>
                <c:pt idx="775">
                  <c:v>03-11-2021</c:v>
                </c:pt>
                <c:pt idx="776">
                  <c:v>04-11-2021</c:v>
                </c:pt>
                <c:pt idx="777">
                  <c:v>08-11-2021</c:v>
                </c:pt>
                <c:pt idx="778">
                  <c:v>09-11-2021</c:v>
                </c:pt>
                <c:pt idx="779">
                  <c:v>10-11-2021</c:v>
                </c:pt>
                <c:pt idx="780">
                  <c:v>11-11-2021</c:v>
                </c:pt>
                <c:pt idx="781">
                  <c:v>12-11-2021</c:v>
                </c:pt>
                <c:pt idx="782">
                  <c:v>15-11-2021</c:v>
                </c:pt>
                <c:pt idx="783">
                  <c:v>16-11-2021</c:v>
                </c:pt>
                <c:pt idx="784">
                  <c:v>17-11-2021</c:v>
                </c:pt>
                <c:pt idx="785">
                  <c:v>18-11-2021</c:v>
                </c:pt>
                <c:pt idx="786">
                  <c:v>22-11-2021</c:v>
                </c:pt>
                <c:pt idx="787">
                  <c:v>23-11-2021</c:v>
                </c:pt>
                <c:pt idx="788">
                  <c:v>24-11-2021</c:v>
                </c:pt>
                <c:pt idx="789">
                  <c:v>25-11-2021</c:v>
                </c:pt>
                <c:pt idx="790">
                  <c:v>26-11-2021</c:v>
                </c:pt>
                <c:pt idx="791">
                  <c:v>29-11-2021</c:v>
                </c:pt>
                <c:pt idx="792">
                  <c:v>30-11-2021</c:v>
                </c:pt>
                <c:pt idx="793">
                  <c:v>01-12-2021</c:v>
                </c:pt>
                <c:pt idx="794">
                  <c:v>02-12-2021</c:v>
                </c:pt>
                <c:pt idx="795">
                  <c:v>03-12-2021</c:v>
                </c:pt>
                <c:pt idx="796">
                  <c:v>06-12-2021</c:v>
                </c:pt>
                <c:pt idx="797">
                  <c:v>07-12-2021</c:v>
                </c:pt>
                <c:pt idx="798">
                  <c:v>08-12-2021</c:v>
                </c:pt>
                <c:pt idx="799">
                  <c:v>09-12-2021</c:v>
                </c:pt>
                <c:pt idx="800">
                  <c:v>10-12-2021</c:v>
                </c:pt>
                <c:pt idx="801">
                  <c:v>13-12-2021</c:v>
                </c:pt>
                <c:pt idx="802">
                  <c:v>14-12-2021</c:v>
                </c:pt>
                <c:pt idx="803">
                  <c:v>15-12-2021</c:v>
                </c:pt>
                <c:pt idx="804">
                  <c:v>16-12-2021</c:v>
                </c:pt>
                <c:pt idx="805">
                  <c:v>17-12-2021</c:v>
                </c:pt>
                <c:pt idx="806">
                  <c:v>20-12-2021</c:v>
                </c:pt>
                <c:pt idx="807">
                  <c:v>21-12-2021</c:v>
                </c:pt>
                <c:pt idx="808">
                  <c:v>22-12-2021</c:v>
                </c:pt>
                <c:pt idx="809">
                  <c:v>23-12-2021</c:v>
                </c:pt>
                <c:pt idx="810">
                  <c:v>24-12-2021</c:v>
                </c:pt>
                <c:pt idx="811">
                  <c:v>27-12-2021</c:v>
                </c:pt>
                <c:pt idx="812">
                  <c:v>28-12-2021</c:v>
                </c:pt>
                <c:pt idx="813">
                  <c:v>29-12-2021</c:v>
                </c:pt>
                <c:pt idx="814">
                  <c:v>30-12-2021</c:v>
                </c:pt>
                <c:pt idx="815">
                  <c:v>31-12-2021</c:v>
                </c:pt>
                <c:pt idx="816">
                  <c:v>03-01-2022</c:v>
                </c:pt>
                <c:pt idx="817">
                  <c:v>04-01-2022</c:v>
                </c:pt>
                <c:pt idx="818">
                  <c:v>05-01-2022</c:v>
                </c:pt>
                <c:pt idx="819">
                  <c:v>06-01-2022</c:v>
                </c:pt>
                <c:pt idx="820">
                  <c:v>07-01-2022</c:v>
                </c:pt>
                <c:pt idx="821">
                  <c:v>10-01-2022</c:v>
                </c:pt>
                <c:pt idx="822">
                  <c:v>11-01-2022</c:v>
                </c:pt>
                <c:pt idx="823">
                  <c:v>12-01-2022</c:v>
                </c:pt>
                <c:pt idx="824">
                  <c:v>13-01-2022</c:v>
                </c:pt>
                <c:pt idx="825">
                  <c:v>14-01-2022</c:v>
                </c:pt>
                <c:pt idx="826">
                  <c:v>17-01-2022</c:v>
                </c:pt>
                <c:pt idx="827">
                  <c:v>18-01-2022</c:v>
                </c:pt>
                <c:pt idx="828">
                  <c:v>19-01-2022</c:v>
                </c:pt>
                <c:pt idx="829">
                  <c:v>20-01-2022</c:v>
                </c:pt>
                <c:pt idx="830">
                  <c:v>21-01-2022</c:v>
                </c:pt>
                <c:pt idx="831">
                  <c:v>24-01-2022</c:v>
                </c:pt>
                <c:pt idx="832">
                  <c:v>25-01-2022</c:v>
                </c:pt>
                <c:pt idx="833">
                  <c:v>27-01-2022</c:v>
                </c:pt>
                <c:pt idx="834">
                  <c:v>28-01-2022</c:v>
                </c:pt>
                <c:pt idx="835">
                  <c:v>31-01-2022</c:v>
                </c:pt>
                <c:pt idx="836">
                  <c:v>01-02-2022</c:v>
                </c:pt>
                <c:pt idx="837">
                  <c:v>02-02-2022</c:v>
                </c:pt>
                <c:pt idx="838">
                  <c:v>03-02-2022</c:v>
                </c:pt>
                <c:pt idx="839">
                  <c:v>04-02-2022</c:v>
                </c:pt>
                <c:pt idx="840">
                  <c:v>07-02-2022</c:v>
                </c:pt>
                <c:pt idx="841">
                  <c:v>08-02-2022</c:v>
                </c:pt>
                <c:pt idx="842">
                  <c:v>09-02-2022</c:v>
                </c:pt>
                <c:pt idx="843">
                  <c:v>10-02-2022</c:v>
                </c:pt>
                <c:pt idx="844">
                  <c:v>11-02-2022</c:v>
                </c:pt>
                <c:pt idx="845">
                  <c:v>14-02-2022</c:v>
                </c:pt>
                <c:pt idx="846">
                  <c:v>15-02-2022</c:v>
                </c:pt>
                <c:pt idx="847">
                  <c:v>16-02-2022</c:v>
                </c:pt>
                <c:pt idx="848">
                  <c:v>17-02-2022</c:v>
                </c:pt>
                <c:pt idx="849">
                  <c:v>18-02-2022</c:v>
                </c:pt>
                <c:pt idx="850">
                  <c:v>21-02-2022</c:v>
                </c:pt>
                <c:pt idx="851">
                  <c:v>22-02-2022</c:v>
                </c:pt>
                <c:pt idx="852">
                  <c:v>23-02-2022</c:v>
                </c:pt>
                <c:pt idx="853">
                  <c:v>24-02-2022</c:v>
                </c:pt>
                <c:pt idx="854">
                  <c:v>25-02-2022</c:v>
                </c:pt>
                <c:pt idx="855">
                  <c:v>28-02-2022</c:v>
                </c:pt>
                <c:pt idx="856">
                  <c:v>02-03-2022</c:v>
                </c:pt>
                <c:pt idx="857">
                  <c:v>03-03-2022</c:v>
                </c:pt>
                <c:pt idx="858">
                  <c:v>04-03-2022</c:v>
                </c:pt>
                <c:pt idx="859">
                  <c:v>07-03-2022</c:v>
                </c:pt>
                <c:pt idx="860">
                  <c:v>08-03-2022</c:v>
                </c:pt>
                <c:pt idx="861">
                  <c:v>09-03-2022</c:v>
                </c:pt>
                <c:pt idx="862">
                  <c:v>10-03-2022</c:v>
                </c:pt>
                <c:pt idx="863">
                  <c:v>11-03-2022</c:v>
                </c:pt>
                <c:pt idx="864">
                  <c:v>14-03-2022</c:v>
                </c:pt>
                <c:pt idx="865">
                  <c:v>15-03-2022</c:v>
                </c:pt>
                <c:pt idx="866">
                  <c:v>16-03-2022</c:v>
                </c:pt>
                <c:pt idx="867">
                  <c:v>17-03-2022</c:v>
                </c:pt>
                <c:pt idx="868">
                  <c:v>21-03-2022</c:v>
                </c:pt>
                <c:pt idx="869">
                  <c:v>22-03-2022</c:v>
                </c:pt>
                <c:pt idx="870">
                  <c:v>23-03-2022</c:v>
                </c:pt>
                <c:pt idx="871">
                  <c:v>24-03-2022</c:v>
                </c:pt>
                <c:pt idx="872">
                  <c:v>25-03-2022</c:v>
                </c:pt>
                <c:pt idx="873">
                  <c:v>28-03-2022</c:v>
                </c:pt>
                <c:pt idx="874">
                  <c:v>29-03-2022</c:v>
                </c:pt>
                <c:pt idx="875">
                  <c:v>30-03-2022</c:v>
                </c:pt>
                <c:pt idx="876">
                  <c:v>31-03-2022</c:v>
                </c:pt>
                <c:pt idx="877">
                  <c:v>01-04-2022</c:v>
                </c:pt>
                <c:pt idx="878">
                  <c:v>04-04-2022</c:v>
                </c:pt>
                <c:pt idx="879">
                  <c:v>05-04-2022</c:v>
                </c:pt>
                <c:pt idx="880">
                  <c:v>06-04-2022</c:v>
                </c:pt>
                <c:pt idx="881">
                  <c:v>07-04-2022</c:v>
                </c:pt>
                <c:pt idx="882">
                  <c:v>08-04-2022</c:v>
                </c:pt>
                <c:pt idx="883">
                  <c:v>11-04-2022</c:v>
                </c:pt>
                <c:pt idx="884">
                  <c:v>12-04-2022</c:v>
                </c:pt>
                <c:pt idx="885">
                  <c:v>13-04-2022</c:v>
                </c:pt>
                <c:pt idx="886">
                  <c:v>18-04-2022</c:v>
                </c:pt>
                <c:pt idx="887">
                  <c:v>19-04-2022</c:v>
                </c:pt>
                <c:pt idx="888">
                  <c:v>20-04-2022</c:v>
                </c:pt>
                <c:pt idx="889">
                  <c:v>21-04-2022</c:v>
                </c:pt>
                <c:pt idx="890">
                  <c:v>22-04-2022</c:v>
                </c:pt>
                <c:pt idx="891">
                  <c:v>25-04-2022</c:v>
                </c:pt>
                <c:pt idx="892">
                  <c:v>26-04-2022</c:v>
                </c:pt>
                <c:pt idx="893">
                  <c:v>27-04-2022</c:v>
                </c:pt>
                <c:pt idx="894">
                  <c:v>28-04-2022</c:v>
                </c:pt>
                <c:pt idx="895">
                  <c:v>29-04-2022</c:v>
                </c:pt>
                <c:pt idx="896">
                  <c:v>02-05-2022</c:v>
                </c:pt>
                <c:pt idx="897">
                  <c:v>04-05-2022</c:v>
                </c:pt>
                <c:pt idx="898">
                  <c:v>05-05-2022</c:v>
                </c:pt>
                <c:pt idx="899">
                  <c:v>06-05-2022</c:v>
                </c:pt>
                <c:pt idx="900">
                  <c:v>09-05-2022</c:v>
                </c:pt>
                <c:pt idx="901">
                  <c:v>10-05-2022</c:v>
                </c:pt>
                <c:pt idx="902">
                  <c:v>11-05-2022</c:v>
                </c:pt>
                <c:pt idx="903">
                  <c:v>12-05-2022</c:v>
                </c:pt>
                <c:pt idx="904">
                  <c:v>13-05-2022</c:v>
                </c:pt>
                <c:pt idx="905">
                  <c:v>16-05-2022</c:v>
                </c:pt>
                <c:pt idx="906">
                  <c:v>17-05-2022</c:v>
                </c:pt>
                <c:pt idx="907">
                  <c:v>18-05-2022</c:v>
                </c:pt>
                <c:pt idx="908">
                  <c:v>19-05-2022</c:v>
                </c:pt>
                <c:pt idx="909">
                  <c:v>20-05-2022</c:v>
                </c:pt>
                <c:pt idx="910">
                  <c:v>23-05-2022</c:v>
                </c:pt>
                <c:pt idx="911">
                  <c:v>24-05-2022</c:v>
                </c:pt>
                <c:pt idx="912">
                  <c:v>25-05-2022</c:v>
                </c:pt>
                <c:pt idx="913">
                  <c:v>26-05-2022</c:v>
                </c:pt>
                <c:pt idx="914">
                  <c:v>27-05-2022</c:v>
                </c:pt>
                <c:pt idx="915">
                  <c:v>30-05-2022</c:v>
                </c:pt>
                <c:pt idx="916">
                  <c:v>31-05-2022</c:v>
                </c:pt>
                <c:pt idx="917">
                  <c:v>01-06-2022</c:v>
                </c:pt>
                <c:pt idx="918">
                  <c:v>02-06-2022</c:v>
                </c:pt>
                <c:pt idx="919">
                  <c:v>03-06-2022</c:v>
                </c:pt>
                <c:pt idx="920">
                  <c:v>06-06-2022</c:v>
                </c:pt>
                <c:pt idx="921">
                  <c:v>07-06-2022</c:v>
                </c:pt>
                <c:pt idx="922">
                  <c:v>08-06-2022</c:v>
                </c:pt>
                <c:pt idx="923">
                  <c:v>09-06-2022</c:v>
                </c:pt>
                <c:pt idx="924">
                  <c:v>10-06-2022</c:v>
                </c:pt>
                <c:pt idx="925">
                  <c:v>13-06-2022</c:v>
                </c:pt>
                <c:pt idx="926">
                  <c:v>14-06-2022</c:v>
                </c:pt>
                <c:pt idx="927">
                  <c:v>15-06-2022</c:v>
                </c:pt>
                <c:pt idx="928">
                  <c:v>16-06-2022</c:v>
                </c:pt>
                <c:pt idx="929">
                  <c:v>17-06-2022</c:v>
                </c:pt>
                <c:pt idx="930">
                  <c:v>20-06-2022</c:v>
                </c:pt>
                <c:pt idx="931">
                  <c:v>21-06-2022</c:v>
                </c:pt>
                <c:pt idx="932">
                  <c:v>22-06-2022</c:v>
                </c:pt>
                <c:pt idx="933">
                  <c:v>23-06-2022</c:v>
                </c:pt>
                <c:pt idx="934">
                  <c:v>24-06-2022</c:v>
                </c:pt>
                <c:pt idx="935">
                  <c:v>27-06-2022</c:v>
                </c:pt>
                <c:pt idx="936">
                  <c:v>28-06-2022</c:v>
                </c:pt>
                <c:pt idx="937">
                  <c:v>29-06-2022</c:v>
                </c:pt>
                <c:pt idx="938">
                  <c:v>30-06-2022</c:v>
                </c:pt>
                <c:pt idx="939">
                  <c:v>01-07-2022</c:v>
                </c:pt>
                <c:pt idx="940">
                  <c:v>04-07-2022</c:v>
                </c:pt>
                <c:pt idx="941">
                  <c:v>05-07-2022</c:v>
                </c:pt>
                <c:pt idx="942">
                  <c:v>06-07-2022</c:v>
                </c:pt>
                <c:pt idx="943">
                  <c:v>07-07-2022</c:v>
                </c:pt>
                <c:pt idx="944">
                  <c:v>08-07-2022</c:v>
                </c:pt>
                <c:pt idx="945">
                  <c:v>11-07-2022</c:v>
                </c:pt>
                <c:pt idx="946">
                  <c:v>12-07-2022</c:v>
                </c:pt>
                <c:pt idx="947">
                  <c:v>13-07-2022</c:v>
                </c:pt>
                <c:pt idx="948">
                  <c:v>14-07-2022</c:v>
                </c:pt>
                <c:pt idx="949">
                  <c:v>15-07-2022</c:v>
                </c:pt>
                <c:pt idx="950">
                  <c:v>18-07-2022</c:v>
                </c:pt>
                <c:pt idx="951">
                  <c:v>19-07-2022</c:v>
                </c:pt>
                <c:pt idx="952">
                  <c:v>20-07-2022</c:v>
                </c:pt>
                <c:pt idx="953">
                  <c:v>21-07-2022</c:v>
                </c:pt>
                <c:pt idx="954">
                  <c:v>22-07-2022</c:v>
                </c:pt>
                <c:pt idx="955">
                  <c:v>25-07-2022</c:v>
                </c:pt>
                <c:pt idx="956">
                  <c:v>26-07-2022</c:v>
                </c:pt>
                <c:pt idx="957">
                  <c:v>27-07-2022</c:v>
                </c:pt>
                <c:pt idx="958">
                  <c:v>28-07-2022</c:v>
                </c:pt>
                <c:pt idx="959">
                  <c:v>29-07-2022</c:v>
                </c:pt>
                <c:pt idx="960">
                  <c:v>01-08-2022</c:v>
                </c:pt>
                <c:pt idx="961">
                  <c:v>02-08-2022</c:v>
                </c:pt>
                <c:pt idx="962">
                  <c:v>03-08-2022</c:v>
                </c:pt>
                <c:pt idx="963">
                  <c:v>04-08-2022</c:v>
                </c:pt>
                <c:pt idx="964">
                  <c:v>05-08-2022</c:v>
                </c:pt>
                <c:pt idx="965">
                  <c:v>08-08-2022</c:v>
                </c:pt>
                <c:pt idx="966">
                  <c:v>10-08-2022</c:v>
                </c:pt>
                <c:pt idx="967">
                  <c:v>11-08-2022</c:v>
                </c:pt>
                <c:pt idx="968">
                  <c:v>12-08-2022</c:v>
                </c:pt>
                <c:pt idx="969">
                  <c:v>16-08-2022</c:v>
                </c:pt>
                <c:pt idx="970">
                  <c:v>17-08-2022</c:v>
                </c:pt>
                <c:pt idx="971">
                  <c:v>18-08-2022</c:v>
                </c:pt>
                <c:pt idx="972">
                  <c:v>19-08-2022</c:v>
                </c:pt>
                <c:pt idx="973">
                  <c:v>22-08-2022</c:v>
                </c:pt>
                <c:pt idx="974">
                  <c:v>23-08-2022</c:v>
                </c:pt>
                <c:pt idx="975">
                  <c:v>24-08-2022</c:v>
                </c:pt>
                <c:pt idx="976">
                  <c:v>25-08-2022</c:v>
                </c:pt>
                <c:pt idx="977">
                  <c:v>26-08-2022</c:v>
                </c:pt>
                <c:pt idx="978">
                  <c:v>29-08-2022</c:v>
                </c:pt>
                <c:pt idx="979">
                  <c:v>30-08-2022</c:v>
                </c:pt>
                <c:pt idx="980">
                  <c:v>01-09-2022</c:v>
                </c:pt>
                <c:pt idx="981">
                  <c:v>02-09-2022</c:v>
                </c:pt>
                <c:pt idx="982">
                  <c:v>05-09-2022</c:v>
                </c:pt>
                <c:pt idx="983">
                  <c:v>06-09-2022</c:v>
                </c:pt>
                <c:pt idx="984">
                  <c:v>07-09-2022</c:v>
                </c:pt>
                <c:pt idx="985">
                  <c:v>08-09-2022</c:v>
                </c:pt>
                <c:pt idx="986">
                  <c:v>09-09-2022</c:v>
                </c:pt>
                <c:pt idx="987">
                  <c:v>12-09-2022</c:v>
                </c:pt>
                <c:pt idx="988">
                  <c:v>13-09-2022</c:v>
                </c:pt>
                <c:pt idx="989">
                  <c:v>14-09-2022</c:v>
                </c:pt>
                <c:pt idx="990">
                  <c:v>15-09-2022</c:v>
                </c:pt>
                <c:pt idx="991">
                  <c:v>16-09-2022</c:v>
                </c:pt>
                <c:pt idx="992">
                  <c:v>19-09-2022</c:v>
                </c:pt>
                <c:pt idx="993">
                  <c:v>20-09-2022</c:v>
                </c:pt>
                <c:pt idx="994">
                  <c:v>21-09-2022</c:v>
                </c:pt>
                <c:pt idx="995">
                  <c:v>22-09-2022</c:v>
                </c:pt>
                <c:pt idx="996">
                  <c:v>23-09-2022</c:v>
                </c:pt>
                <c:pt idx="997">
                  <c:v>26-09-2022</c:v>
                </c:pt>
                <c:pt idx="998">
                  <c:v>27-09-2022</c:v>
                </c:pt>
                <c:pt idx="999">
                  <c:v>28-09-2022</c:v>
                </c:pt>
                <c:pt idx="1000">
                  <c:v>29-09-2022</c:v>
                </c:pt>
                <c:pt idx="1001">
                  <c:v>30-09-2022</c:v>
                </c:pt>
                <c:pt idx="1002">
                  <c:v>03-10-2022</c:v>
                </c:pt>
                <c:pt idx="1003">
                  <c:v>04-10-2022</c:v>
                </c:pt>
                <c:pt idx="1004">
                  <c:v>06-10-2022</c:v>
                </c:pt>
                <c:pt idx="1005">
                  <c:v>07-10-2022</c:v>
                </c:pt>
                <c:pt idx="1006">
                  <c:v>10-10-2022</c:v>
                </c:pt>
                <c:pt idx="1007">
                  <c:v>11-10-2022</c:v>
                </c:pt>
                <c:pt idx="1008">
                  <c:v>12-10-2022</c:v>
                </c:pt>
                <c:pt idx="1009">
                  <c:v>13-10-2022</c:v>
                </c:pt>
                <c:pt idx="1010">
                  <c:v>14-10-2022</c:v>
                </c:pt>
                <c:pt idx="1011">
                  <c:v>17-10-2022</c:v>
                </c:pt>
                <c:pt idx="1012">
                  <c:v>18-10-2022</c:v>
                </c:pt>
                <c:pt idx="1013">
                  <c:v>19-10-2022</c:v>
                </c:pt>
                <c:pt idx="1014">
                  <c:v>20-10-2022</c:v>
                </c:pt>
                <c:pt idx="1015">
                  <c:v>21-10-2022</c:v>
                </c:pt>
                <c:pt idx="1016">
                  <c:v>24-10-2022</c:v>
                </c:pt>
                <c:pt idx="1017">
                  <c:v>25-10-2022</c:v>
                </c:pt>
                <c:pt idx="1018">
                  <c:v>27-10-2022</c:v>
                </c:pt>
                <c:pt idx="1019">
                  <c:v>28-10-2022</c:v>
                </c:pt>
                <c:pt idx="1020">
                  <c:v>31-10-2022</c:v>
                </c:pt>
                <c:pt idx="1021">
                  <c:v>01-11-2022</c:v>
                </c:pt>
                <c:pt idx="1022">
                  <c:v>02-11-2022</c:v>
                </c:pt>
                <c:pt idx="1023">
                  <c:v>03-11-2022</c:v>
                </c:pt>
                <c:pt idx="1024">
                  <c:v>04-11-2022</c:v>
                </c:pt>
                <c:pt idx="1025">
                  <c:v>07-11-2022</c:v>
                </c:pt>
                <c:pt idx="1026">
                  <c:v>09-11-2022</c:v>
                </c:pt>
                <c:pt idx="1027">
                  <c:v>10-11-2022</c:v>
                </c:pt>
                <c:pt idx="1028">
                  <c:v>11-11-2022</c:v>
                </c:pt>
                <c:pt idx="1029">
                  <c:v>14-11-2022</c:v>
                </c:pt>
                <c:pt idx="1030">
                  <c:v>15-11-2022</c:v>
                </c:pt>
                <c:pt idx="1031">
                  <c:v>16-11-2022</c:v>
                </c:pt>
                <c:pt idx="1032">
                  <c:v>17-11-2022</c:v>
                </c:pt>
                <c:pt idx="1033">
                  <c:v>18-11-2022</c:v>
                </c:pt>
                <c:pt idx="1034">
                  <c:v>21-11-2022</c:v>
                </c:pt>
                <c:pt idx="1035">
                  <c:v>22-11-2022</c:v>
                </c:pt>
                <c:pt idx="1036">
                  <c:v>23-11-2022</c:v>
                </c:pt>
                <c:pt idx="1037">
                  <c:v>24-11-2022</c:v>
                </c:pt>
                <c:pt idx="1038">
                  <c:v>25-11-2022</c:v>
                </c:pt>
                <c:pt idx="1039">
                  <c:v>28-11-2022</c:v>
                </c:pt>
                <c:pt idx="1040">
                  <c:v>29-11-2022</c:v>
                </c:pt>
                <c:pt idx="1041">
                  <c:v>30-11-2022</c:v>
                </c:pt>
                <c:pt idx="1042">
                  <c:v>01-12-2022</c:v>
                </c:pt>
                <c:pt idx="1043">
                  <c:v>02-12-2022</c:v>
                </c:pt>
                <c:pt idx="1044">
                  <c:v>05-12-2022</c:v>
                </c:pt>
                <c:pt idx="1045">
                  <c:v>06-12-2022</c:v>
                </c:pt>
                <c:pt idx="1046">
                  <c:v>07-12-2022</c:v>
                </c:pt>
                <c:pt idx="1047">
                  <c:v>08-12-2022</c:v>
                </c:pt>
                <c:pt idx="1048">
                  <c:v>09-12-2022</c:v>
                </c:pt>
                <c:pt idx="1049">
                  <c:v>12-12-2022</c:v>
                </c:pt>
                <c:pt idx="1050">
                  <c:v>13-12-2022</c:v>
                </c:pt>
                <c:pt idx="1051">
                  <c:v>14-12-2022</c:v>
                </c:pt>
                <c:pt idx="1052">
                  <c:v>15-12-2022</c:v>
                </c:pt>
                <c:pt idx="1053">
                  <c:v>16-12-2022</c:v>
                </c:pt>
                <c:pt idx="1054">
                  <c:v>19-12-2022</c:v>
                </c:pt>
                <c:pt idx="1055">
                  <c:v>20-12-2022</c:v>
                </c:pt>
                <c:pt idx="1056">
                  <c:v>21-12-2022</c:v>
                </c:pt>
                <c:pt idx="1057">
                  <c:v>22-12-2022</c:v>
                </c:pt>
                <c:pt idx="1058">
                  <c:v>23-12-2022</c:v>
                </c:pt>
                <c:pt idx="1059">
                  <c:v>26-12-2022</c:v>
                </c:pt>
                <c:pt idx="1060">
                  <c:v>27-12-2022</c:v>
                </c:pt>
                <c:pt idx="1061">
                  <c:v>28-12-2022</c:v>
                </c:pt>
                <c:pt idx="1062">
                  <c:v>29-12-2022</c:v>
                </c:pt>
                <c:pt idx="1063">
                  <c:v>30-12-2022</c:v>
                </c:pt>
                <c:pt idx="1064">
                  <c:v>02-01-2023</c:v>
                </c:pt>
                <c:pt idx="1065">
                  <c:v>03-01-2023</c:v>
                </c:pt>
                <c:pt idx="1066">
                  <c:v>04-01-2023</c:v>
                </c:pt>
                <c:pt idx="1067">
                  <c:v>05-01-2023</c:v>
                </c:pt>
                <c:pt idx="1068">
                  <c:v>06-01-2023</c:v>
                </c:pt>
                <c:pt idx="1069">
                  <c:v>09-01-2023</c:v>
                </c:pt>
                <c:pt idx="1070">
                  <c:v>10-01-2023</c:v>
                </c:pt>
                <c:pt idx="1071">
                  <c:v>11-01-2023</c:v>
                </c:pt>
                <c:pt idx="1072">
                  <c:v>12-01-2023</c:v>
                </c:pt>
                <c:pt idx="1073">
                  <c:v>13-01-2023</c:v>
                </c:pt>
                <c:pt idx="1074">
                  <c:v>16-01-2023</c:v>
                </c:pt>
                <c:pt idx="1075">
                  <c:v>17-01-2023</c:v>
                </c:pt>
                <c:pt idx="1076">
                  <c:v>18-01-2023</c:v>
                </c:pt>
                <c:pt idx="1077">
                  <c:v>19-01-2023</c:v>
                </c:pt>
                <c:pt idx="1078">
                  <c:v>20-01-2023</c:v>
                </c:pt>
                <c:pt idx="1079">
                  <c:v>23-01-2023</c:v>
                </c:pt>
                <c:pt idx="1080">
                  <c:v>24-01-2023</c:v>
                </c:pt>
                <c:pt idx="1081">
                  <c:v>25-01-2023</c:v>
                </c:pt>
                <c:pt idx="1082">
                  <c:v>27-01-2023</c:v>
                </c:pt>
                <c:pt idx="1083">
                  <c:v>30-01-2023</c:v>
                </c:pt>
                <c:pt idx="1084">
                  <c:v>31-01-2023</c:v>
                </c:pt>
                <c:pt idx="1085">
                  <c:v>01-02-2023</c:v>
                </c:pt>
                <c:pt idx="1086">
                  <c:v>02-02-2023</c:v>
                </c:pt>
                <c:pt idx="1087">
                  <c:v>03-02-2023</c:v>
                </c:pt>
                <c:pt idx="1088">
                  <c:v>06-02-2023</c:v>
                </c:pt>
                <c:pt idx="1089">
                  <c:v>07-02-2023</c:v>
                </c:pt>
                <c:pt idx="1090">
                  <c:v>08-02-2023</c:v>
                </c:pt>
                <c:pt idx="1091">
                  <c:v>09-02-2023</c:v>
                </c:pt>
                <c:pt idx="1092">
                  <c:v>10-02-2023</c:v>
                </c:pt>
                <c:pt idx="1093">
                  <c:v>13-02-2023</c:v>
                </c:pt>
                <c:pt idx="1094">
                  <c:v>14-02-2023</c:v>
                </c:pt>
                <c:pt idx="1095">
                  <c:v>15-02-2023</c:v>
                </c:pt>
                <c:pt idx="1096">
                  <c:v>16-02-2023</c:v>
                </c:pt>
                <c:pt idx="1097">
                  <c:v>17-02-2023</c:v>
                </c:pt>
                <c:pt idx="1098">
                  <c:v>20-02-2023</c:v>
                </c:pt>
                <c:pt idx="1099">
                  <c:v>21-02-2023</c:v>
                </c:pt>
                <c:pt idx="1100">
                  <c:v>22-02-2023</c:v>
                </c:pt>
                <c:pt idx="1101">
                  <c:v>23-02-2023</c:v>
                </c:pt>
                <c:pt idx="1102">
                  <c:v>24-02-2023</c:v>
                </c:pt>
                <c:pt idx="1103">
                  <c:v>27-02-2023</c:v>
                </c:pt>
                <c:pt idx="1104">
                  <c:v>28-02-2023</c:v>
                </c:pt>
                <c:pt idx="1105">
                  <c:v>01-03-2023</c:v>
                </c:pt>
                <c:pt idx="1106">
                  <c:v>02-03-2023</c:v>
                </c:pt>
                <c:pt idx="1107">
                  <c:v>03-03-2023</c:v>
                </c:pt>
                <c:pt idx="1108">
                  <c:v>06-03-2023</c:v>
                </c:pt>
                <c:pt idx="1109">
                  <c:v>08-03-2023</c:v>
                </c:pt>
                <c:pt idx="1110">
                  <c:v>09-03-2023</c:v>
                </c:pt>
                <c:pt idx="1111">
                  <c:v>10-03-2023</c:v>
                </c:pt>
                <c:pt idx="1112">
                  <c:v>13-03-2023</c:v>
                </c:pt>
                <c:pt idx="1113">
                  <c:v>14-03-2023</c:v>
                </c:pt>
                <c:pt idx="1114">
                  <c:v>15-03-2023</c:v>
                </c:pt>
                <c:pt idx="1115">
                  <c:v>16-03-2023</c:v>
                </c:pt>
                <c:pt idx="1116">
                  <c:v>17-03-2023</c:v>
                </c:pt>
                <c:pt idx="1117">
                  <c:v>20-03-2023</c:v>
                </c:pt>
                <c:pt idx="1118">
                  <c:v>21-03-2023</c:v>
                </c:pt>
                <c:pt idx="1119">
                  <c:v>22-03-2023</c:v>
                </c:pt>
                <c:pt idx="1120">
                  <c:v>23-03-2023</c:v>
                </c:pt>
                <c:pt idx="1121">
                  <c:v>24-03-2023</c:v>
                </c:pt>
                <c:pt idx="1122">
                  <c:v>27-03-2023</c:v>
                </c:pt>
                <c:pt idx="1123">
                  <c:v>28-03-2023</c:v>
                </c:pt>
                <c:pt idx="1124">
                  <c:v>29-03-2023</c:v>
                </c:pt>
                <c:pt idx="1125">
                  <c:v>31-03-2023</c:v>
                </c:pt>
                <c:pt idx="1126">
                  <c:v>03-04-2023</c:v>
                </c:pt>
                <c:pt idx="1127">
                  <c:v>05-04-2023</c:v>
                </c:pt>
                <c:pt idx="1128">
                  <c:v>06-04-2023</c:v>
                </c:pt>
                <c:pt idx="1129">
                  <c:v>10-04-2023</c:v>
                </c:pt>
                <c:pt idx="1130">
                  <c:v>11-04-2023</c:v>
                </c:pt>
                <c:pt idx="1131">
                  <c:v>12-04-2023</c:v>
                </c:pt>
                <c:pt idx="1132">
                  <c:v>13-04-2023</c:v>
                </c:pt>
                <c:pt idx="1133">
                  <c:v>17-04-2023</c:v>
                </c:pt>
                <c:pt idx="1134">
                  <c:v>18-04-2023</c:v>
                </c:pt>
                <c:pt idx="1135">
                  <c:v>19-04-2023</c:v>
                </c:pt>
                <c:pt idx="1136">
                  <c:v>20-04-2023</c:v>
                </c:pt>
                <c:pt idx="1137">
                  <c:v>21-04-2023</c:v>
                </c:pt>
                <c:pt idx="1138">
                  <c:v>24-04-2023</c:v>
                </c:pt>
                <c:pt idx="1139">
                  <c:v>25-04-2023</c:v>
                </c:pt>
                <c:pt idx="1140">
                  <c:v>26-04-2023</c:v>
                </c:pt>
                <c:pt idx="1141">
                  <c:v>27-04-2023</c:v>
                </c:pt>
                <c:pt idx="1142">
                  <c:v>28-04-2023</c:v>
                </c:pt>
                <c:pt idx="1143">
                  <c:v>02-05-2023</c:v>
                </c:pt>
                <c:pt idx="1144">
                  <c:v>03-05-2023</c:v>
                </c:pt>
                <c:pt idx="1145">
                  <c:v>04-05-2023</c:v>
                </c:pt>
                <c:pt idx="1146">
                  <c:v>05-05-2023</c:v>
                </c:pt>
                <c:pt idx="1147">
                  <c:v>08-05-2023</c:v>
                </c:pt>
                <c:pt idx="1148">
                  <c:v>09-05-2023</c:v>
                </c:pt>
                <c:pt idx="1149">
                  <c:v>10-05-2023</c:v>
                </c:pt>
                <c:pt idx="1150">
                  <c:v>11-05-2023</c:v>
                </c:pt>
                <c:pt idx="1151">
                  <c:v>12-05-2023</c:v>
                </c:pt>
                <c:pt idx="1152">
                  <c:v>15-05-2023</c:v>
                </c:pt>
                <c:pt idx="1153">
                  <c:v>16-05-2023</c:v>
                </c:pt>
                <c:pt idx="1154">
                  <c:v>17-05-2023</c:v>
                </c:pt>
                <c:pt idx="1155">
                  <c:v>18-05-2023</c:v>
                </c:pt>
                <c:pt idx="1156">
                  <c:v>19-05-2023</c:v>
                </c:pt>
                <c:pt idx="1157">
                  <c:v>22-05-2023</c:v>
                </c:pt>
                <c:pt idx="1158">
                  <c:v>23-05-2023</c:v>
                </c:pt>
                <c:pt idx="1159">
                  <c:v>24-05-2023</c:v>
                </c:pt>
                <c:pt idx="1160">
                  <c:v>25-05-2023</c:v>
                </c:pt>
                <c:pt idx="1161">
                  <c:v>26-05-2023</c:v>
                </c:pt>
                <c:pt idx="1162">
                  <c:v>29-05-2023</c:v>
                </c:pt>
                <c:pt idx="1163">
                  <c:v>30-05-2023</c:v>
                </c:pt>
                <c:pt idx="1164">
                  <c:v>31-05-2023</c:v>
                </c:pt>
                <c:pt idx="1165">
                  <c:v>01-06-2023</c:v>
                </c:pt>
                <c:pt idx="1166">
                  <c:v>02-06-2023</c:v>
                </c:pt>
                <c:pt idx="1167">
                  <c:v>05-06-2023</c:v>
                </c:pt>
                <c:pt idx="1168">
                  <c:v>06-06-2023</c:v>
                </c:pt>
                <c:pt idx="1169">
                  <c:v>07-06-2023</c:v>
                </c:pt>
                <c:pt idx="1170">
                  <c:v>08-06-2023</c:v>
                </c:pt>
                <c:pt idx="1171">
                  <c:v>09-06-2023</c:v>
                </c:pt>
                <c:pt idx="1172">
                  <c:v>12-06-2023</c:v>
                </c:pt>
                <c:pt idx="1173">
                  <c:v>13-06-2023</c:v>
                </c:pt>
                <c:pt idx="1174">
                  <c:v>14-06-2023</c:v>
                </c:pt>
                <c:pt idx="1175">
                  <c:v>15-06-2023</c:v>
                </c:pt>
                <c:pt idx="1176">
                  <c:v>16-06-2023</c:v>
                </c:pt>
                <c:pt idx="1177">
                  <c:v>19-06-2023</c:v>
                </c:pt>
                <c:pt idx="1178">
                  <c:v>20-06-2023</c:v>
                </c:pt>
                <c:pt idx="1179">
                  <c:v>21-06-2023</c:v>
                </c:pt>
                <c:pt idx="1180">
                  <c:v>22-06-2023</c:v>
                </c:pt>
                <c:pt idx="1181">
                  <c:v>23-06-2023</c:v>
                </c:pt>
                <c:pt idx="1182">
                  <c:v>26-06-2023</c:v>
                </c:pt>
                <c:pt idx="1183">
                  <c:v>27-06-2023</c:v>
                </c:pt>
                <c:pt idx="1184">
                  <c:v>28-06-2023</c:v>
                </c:pt>
                <c:pt idx="1185">
                  <c:v>30-06-2023</c:v>
                </c:pt>
                <c:pt idx="1186">
                  <c:v>03-07-2023</c:v>
                </c:pt>
                <c:pt idx="1187">
                  <c:v>04-07-2023</c:v>
                </c:pt>
                <c:pt idx="1188">
                  <c:v>05-07-2023</c:v>
                </c:pt>
                <c:pt idx="1189">
                  <c:v>06-07-2023</c:v>
                </c:pt>
                <c:pt idx="1190">
                  <c:v>07-07-2023</c:v>
                </c:pt>
                <c:pt idx="1191">
                  <c:v>10-07-2023</c:v>
                </c:pt>
                <c:pt idx="1192">
                  <c:v>11-07-2023</c:v>
                </c:pt>
                <c:pt idx="1193">
                  <c:v>12-07-2023</c:v>
                </c:pt>
                <c:pt idx="1194">
                  <c:v>13-07-2023</c:v>
                </c:pt>
                <c:pt idx="1195">
                  <c:v>14-07-2023</c:v>
                </c:pt>
                <c:pt idx="1196">
                  <c:v>17-07-2023</c:v>
                </c:pt>
                <c:pt idx="1197">
                  <c:v>18-07-2023</c:v>
                </c:pt>
                <c:pt idx="1198">
                  <c:v>19-07-2023</c:v>
                </c:pt>
                <c:pt idx="1199">
                  <c:v>20-07-2023</c:v>
                </c:pt>
                <c:pt idx="1200">
                  <c:v>21-07-2023</c:v>
                </c:pt>
                <c:pt idx="1201">
                  <c:v>24-07-2023</c:v>
                </c:pt>
                <c:pt idx="1202">
                  <c:v>25-07-2023</c:v>
                </c:pt>
                <c:pt idx="1203">
                  <c:v>26-07-2023</c:v>
                </c:pt>
                <c:pt idx="1204">
                  <c:v>27-07-2023</c:v>
                </c:pt>
                <c:pt idx="1205">
                  <c:v>28-07-2023</c:v>
                </c:pt>
                <c:pt idx="1206">
                  <c:v>31-07-2023</c:v>
                </c:pt>
                <c:pt idx="1207">
                  <c:v>01-08-2023</c:v>
                </c:pt>
                <c:pt idx="1208">
                  <c:v>02-08-2023</c:v>
                </c:pt>
                <c:pt idx="1209">
                  <c:v>03-08-2023</c:v>
                </c:pt>
                <c:pt idx="1210">
                  <c:v>04-08-2023</c:v>
                </c:pt>
                <c:pt idx="1211">
                  <c:v>07-08-2023</c:v>
                </c:pt>
                <c:pt idx="1212">
                  <c:v>08-08-2023</c:v>
                </c:pt>
                <c:pt idx="1213">
                  <c:v>09-08-2023</c:v>
                </c:pt>
                <c:pt idx="1214">
                  <c:v>10-08-2023</c:v>
                </c:pt>
                <c:pt idx="1215">
                  <c:v>11-08-2023</c:v>
                </c:pt>
                <c:pt idx="1216">
                  <c:v>14-08-2023</c:v>
                </c:pt>
                <c:pt idx="1217">
                  <c:v>16-08-2023</c:v>
                </c:pt>
                <c:pt idx="1218">
                  <c:v>17-08-2023</c:v>
                </c:pt>
                <c:pt idx="1219">
                  <c:v>18-08-2023</c:v>
                </c:pt>
                <c:pt idx="1220">
                  <c:v>21-08-2023</c:v>
                </c:pt>
                <c:pt idx="1221">
                  <c:v>22-08-2023</c:v>
                </c:pt>
                <c:pt idx="1222">
                  <c:v>23-08-2023</c:v>
                </c:pt>
                <c:pt idx="1223">
                  <c:v>24-08-2023</c:v>
                </c:pt>
                <c:pt idx="1224">
                  <c:v>25-08-2023</c:v>
                </c:pt>
                <c:pt idx="1225">
                  <c:v>28-08-2023</c:v>
                </c:pt>
                <c:pt idx="1226">
                  <c:v>29-08-2023</c:v>
                </c:pt>
                <c:pt idx="1227">
                  <c:v>30-08-2023</c:v>
                </c:pt>
                <c:pt idx="1228">
                  <c:v>31-08-2023</c:v>
                </c:pt>
                <c:pt idx="1229">
                  <c:v>01-09-2023</c:v>
                </c:pt>
                <c:pt idx="1230">
                  <c:v>04-09-2023</c:v>
                </c:pt>
                <c:pt idx="1231">
                  <c:v>05-09-2023</c:v>
                </c:pt>
                <c:pt idx="1232">
                  <c:v>06-09-2023</c:v>
                </c:pt>
                <c:pt idx="1233">
                  <c:v>07-09-2023</c:v>
                </c:pt>
                <c:pt idx="1234">
                  <c:v>08-09-2023</c:v>
                </c:pt>
                <c:pt idx="1235">
                  <c:v>11-09-2023</c:v>
                </c:pt>
                <c:pt idx="1236">
                  <c:v>12-09-2023</c:v>
                </c:pt>
                <c:pt idx="1237">
                  <c:v>13-09-2023</c:v>
                </c:pt>
                <c:pt idx="1239">
                  <c:v>Dec-22</c:v>
                </c:pt>
                <c:pt idx="1240">
                  <c:v>FIIs +</c:v>
                </c:pt>
                <c:pt idx="1241">
                  <c:v>DIIs +</c:v>
                </c:pt>
                <c:pt idx="1242">
                  <c:v>Government +</c:v>
                </c:pt>
                <c:pt idx="1243">
                  <c:v>Public +</c:v>
                </c:pt>
                <c:pt idx="1244">
                  <c:v>No. of Shareholders</c:v>
                </c:pt>
              </c:strCache>
            </c:strRef>
          </c:cat>
          <c:val>
            <c:numRef>
              <c:f>Sheet3!$D$2:$D$1246</c:f>
              <c:numCache>
                <c:formatCode>General</c:formatCode>
                <c:ptCount val="1245"/>
                <c:pt idx="0">
                  <c:v>12.82</c:v>
                </c:pt>
                <c:pt idx="1">
                  <c:v>5.83</c:v>
                </c:pt>
                <c:pt idx="2">
                  <c:v>8.1999999999999993</c:v>
                </c:pt>
                <c:pt idx="3">
                  <c:v>6.15</c:v>
                </c:pt>
                <c:pt idx="4">
                  <c:v>16.34</c:v>
                </c:pt>
                <c:pt idx="5">
                  <c:v>14.45</c:v>
                </c:pt>
                <c:pt idx="6">
                  <c:v>13.27</c:v>
                </c:pt>
                <c:pt idx="7">
                  <c:v>19.89</c:v>
                </c:pt>
                <c:pt idx="8">
                  <c:v>12.08</c:v>
                </c:pt>
                <c:pt idx="9">
                  <c:v>24.61</c:v>
                </c:pt>
                <c:pt idx="10">
                  <c:v>9.0299999999999994</c:v>
                </c:pt>
                <c:pt idx="11">
                  <c:v>7.57</c:v>
                </c:pt>
                <c:pt idx="12">
                  <c:v>8.11</c:v>
                </c:pt>
                <c:pt idx="13">
                  <c:v>17.62</c:v>
                </c:pt>
                <c:pt idx="14">
                  <c:v>16.43</c:v>
                </c:pt>
                <c:pt idx="15">
                  <c:v>10.54</c:v>
                </c:pt>
                <c:pt idx="16">
                  <c:v>11.48</c:v>
                </c:pt>
                <c:pt idx="17">
                  <c:v>10.61</c:v>
                </c:pt>
                <c:pt idx="18">
                  <c:v>13.43</c:v>
                </c:pt>
                <c:pt idx="19">
                  <c:v>17.93</c:v>
                </c:pt>
                <c:pt idx="20">
                  <c:v>11.87</c:v>
                </c:pt>
                <c:pt idx="21">
                  <c:v>15.31</c:v>
                </c:pt>
                <c:pt idx="22">
                  <c:v>8.0299999999999994</c:v>
                </c:pt>
                <c:pt idx="23">
                  <c:v>12.48</c:v>
                </c:pt>
                <c:pt idx="24">
                  <c:v>10.84</c:v>
                </c:pt>
                <c:pt idx="25">
                  <c:v>8.69</c:v>
                </c:pt>
                <c:pt idx="26">
                  <c:v>9.58</c:v>
                </c:pt>
                <c:pt idx="27">
                  <c:v>21.48</c:v>
                </c:pt>
                <c:pt idx="28">
                  <c:v>11.34</c:v>
                </c:pt>
                <c:pt idx="29">
                  <c:v>6.85</c:v>
                </c:pt>
                <c:pt idx="30">
                  <c:v>13.5</c:v>
                </c:pt>
                <c:pt idx="31">
                  <c:v>9.4499999999999993</c:v>
                </c:pt>
                <c:pt idx="32">
                  <c:v>11.64</c:v>
                </c:pt>
                <c:pt idx="33">
                  <c:v>7.38</c:v>
                </c:pt>
                <c:pt idx="34">
                  <c:v>9.77</c:v>
                </c:pt>
                <c:pt idx="35">
                  <c:v>0</c:v>
                </c:pt>
                <c:pt idx="36">
                  <c:v>15.03</c:v>
                </c:pt>
                <c:pt idx="37">
                  <c:v>7.05</c:v>
                </c:pt>
                <c:pt idx="38">
                  <c:v>6.7</c:v>
                </c:pt>
                <c:pt idx="39">
                  <c:v>6.92</c:v>
                </c:pt>
                <c:pt idx="40">
                  <c:v>12.15</c:v>
                </c:pt>
                <c:pt idx="41">
                  <c:v>12.64</c:v>
                </c:pt>
                <c:pt idx="42">
                  <c:v>16.72</c:v>
                </c:pt>
                <c:pt idx="43">
                  <c:v>7.8</c:v>
                </c:pt>
                <c:pt idx="44">
                  <c:v>5.65</c:v>
                </c:pt>
                <c:pt idx="45">
                  <c:v>6.68</c:v>
                </c:pt>
                <c:pt idx="46">
                  <c:v>8.9499999999999993</c:v>
                </c:pt>
                <c:pt idx="47">
                  <c:v>6.88</c:v>
                </c:pt>
                <c:pt idx="48">
                  <c:v>8.86</c:v>
                </c:pt>
                <c:pt idx="49">
                  <c:v>13.66</c:v>
                </c:pt>
                <c:pt idx="50">
                  <c:v>8.64</c:v>
                </c:pt>
                <c:pt idx="51">
                  <c:v>8.57</c:v>
                </c:pt>
                <c:pt idx="52">
                  <c:v>6.31</c:v>
                </c:pt>
                <c:pt idx="53">
                  <c:v>11.45</c:v>
                </c:pt>
                <c:pt idx="54">
                  <c:v>9.68</c:v>
                </c:pt>
                <c:pt idx="55">
                  <c:v>8.1</c:v>
                </c:pt>
                <c:pt idx="56">
                  <c:v>6.68</c:v>
                </c:pt>
                <c:pt idx="57">
                  <c:v>10.24</c:v>
                </c:pt>
                <c:pt idx="58">
                  <c:v>10.08</c:v>
                </c:pt>
                <c:pt idx="59">
                  <c:v>15.82</c:v>
                </c:pt>
                <c:pt idx="60">
                  <c:v>8.59</c:v>
                </c:pt>
                <c:pt idx="61">
                  <c:v>12.23</c:v>
                </c:pt>
                <c:pt idx="62">
                  <c:v>8.83</c:v>
                </c:pt>
                <c:pt idx="63">
                  <c:v>13.13</c:v>
                </c:pt>
                <c:pt idx="64">
                  <c:v>4.96</c:v>
                </c:pt>
                <c:pt idx="65">
                  <c:v>6.82</c:v>
                </c:pt>
                <c:pt idx="66">
                  <c:v>8.5399999999999991</c:v>
                </c:pt>
                <c:pt idx="67">
                  <c:v>8.49</c:v>
                </c:pt>
                <c:pt idx="68">
                  <c:v>11.44</c:v>
                </c:pt>
                <c:pt idx="69">
                  <c:v>13.19</c:v>
                </c:pt>
                <c:pt idx="70">
                  <c:v>5.45</c:v>
                </c:pt>
                <c:pt idx="71">
                  <c:v>2.4900000000000002</c:v>
                </c:pt>
                <c:pt idx="72">
                  <c:v>9.93</c:v>
                </c:pt>
                <c:pt idx="73">
                  <c:v>6.11</c:v>
                </c:pt>
                <c:pt idx="74">
                  <c:v>7.81</c:v>
                </c:pt>
                <c:pt idx="75">
                  <c:v>9.76</c:v>
                </c:pt>
                <c:pt idx="76">
                  <c:v>7.48</c:v>
                </c:pt>
                <c:pt idx="77">
                  <c:v>12.18</c:v>
                </c:pt>
                <c:pt idx="78">
                  <c:v>10.29</c:v>
                </c:pt>
                <c:pt idx="79">
                  <c:v>16.77</c:v>
                </c:pt>
                <c:pt idx="80">
                  <c:v>6.4</c:v>
                </c:pt>
                <c:pt idx="81">
                  <c:v>7.21</c:v>
                </c:pt>
                <c:pt idx="82">
                  <c:v>7.78</c:v>
                </c:pt>
                <c:pt idx="83">
                  <c:v>10.6</c:v>
                </c:pt>
                <c:pt idx="84">
                  <c:v>10.99</c:v>
                </c:pt>
                <c:pt idx="85">
                  <c:v>8.1999999999999993</c:v>
                </c:pt>
                <c:pt idx="86">
                  <c:v>10.33</c:v>
                </c:pt>
                <c:pt idx="87">
                  <c:v>40.19</c:v>
                </c:pt>
                <c:pt idx="88">
                  <c:v>28.03</c:v>
                </c:pt>
                <c:pt idx="89">
                  <c:v>8.9</c:v>
                </c:pt>
                <c:pt idx="90">
                  <c:v>8.99</c:v>
                </c:pt>
                <c:pt idx="91">
                  <c:v>7</c:v>
                </c:pt>
                <c:pt idx="92">
                  <c:v>10.45</c:v>
                </c:pt>
                <c:pt idx="93">
                  <c:v>15.35</c:v>
                </c:pt>
                <c:pt idx="94">
                  <c:v>18.350000000000001</c:v>
                </c:pt>
                <c:pt idx="95">
                  <c:v>6.06</c:v>
                </c:pt>
                <c:pt idx="96">
                  <c:v>9.83</c:v>
                </c:pt>
                <c:pt idx="97">
                  <c:v>8.1</c:v>
                </c:pt>
                <c:pt idx="98">
                  <c:v>5.95</c:v>
                </c:pt>
                <c:pt idx="99">
                  <c:v>4.41</c:v>
                </c:pt>
                <c:pt idx="100">
                  <c:v>9.9499999999999993</c:v>
                </c:pt>
                <c:pt idx="101">
                  <c:v>7.34</c:v>
                </c:pt>
                <c:pt idx="102">
                  <c:v>15.34</c:v>
                </c:pt>
                <c:pt idx="103">
                  <c:v>9.99</c:v>
                </c:pt>
                <c:pt idx="104">
                  <c:v>37.549999999999997</c:v>
                </c:pt>
                <c:pt idx="105">
                  <c:v>40.67</c:v>
                </c:pt>
                <c:pt idx="106">
                  <c:v>34.450000000000003</c:v>
                </c:pt>
                <c:pt idx="107">
                  <c:v>5.98</c:v>
                </c:pt>
                <c:pt idx="108">
                  <c:v>7</c:v>
                </c:pt>
                <c:pt idx="109">
                  <c:v>8.76</c:v>
                </c:pt>
                <c:pt idx="110">
                  <c:v>30.05</c:v>
                </c:pt>
                <c:pt idx="111">
                  <c:v>11.78</c:v>
                </c:pt>
                <c:pt idx="112">
                  <c:v>13.13</c:v>
                </c:pt>
                <c:pt idx="113">
                  <c:v>43.21</c:v>
                </c:pt>
                <c:pt idx="114">
                  <c:v>8.83</c:v>
                </c:pt>
                <c:pt idx="115">
                  <c:v>13.58</c:v>
                </c:pt>
                <c:pt idx="116">
                  <c:v>20.05</c:v>
                </c:pt>
                <c:pt idx="117">
                  <c:v>14.29</c:v>
                </c:pt>
                <c:pt idx="118">
                  <c:v>12.68</c:v>
                </c:pt>
                <c:pt idx="119">
                  <c:v>14.72</c:v>
                </c:pt>
                <c:pt idx="120">
                  <c:v>14.14</c:v>
                </c:pt>
                <c:pt idx="121">
                  <c:v>11.07</c:v>
                </c:pt>
                <c:pt idx="122">
                  <c:v>10.11</c:v>
                </c:pt>
                <c:pt idx="123">
                  <c:v>21.4</c:v>
                </c:pt>
                <c:pt idx="124">
                  <c:v>9.17</c:v>
                </c:pt>
                <c:pt idx="125">
                  <c:v>15.76</c:v>
                </c:pt>
                <c:pt idx="126">
                  <c:v>15.62</c:v>
                </c:pt>
                <c:pt idx="127">
                  <c:v>8.07</c:v>
                </c:pt>
                <c:pt idx="128">
                  <c:v>8.02</c:v>
                </c:pt>
                <c:pt idx="129">
                  <c:v>10.76</c:v>
                </c:pt>
                <c:pt idx="130">
                  <c:v>8.43</c:v>
                </c:pt>
                <c:pt idx="131">
                  <c:v>17.75</c:v>
                </c:pt>
                <c:pt idx="132">
                  <c:v>11.91</c:v>
                </c:pt>
                <c:pt idx="133">
                  <c:v>6.2</c:v>
                </c:pt>
                <c:pt idx="134">
                  <c:v>9.85</c:v>
                </c:pt>
                <c:pt idx="135">
                  <c:v>9.06</c:v>
                </c:pt>
                <c:pt idx="136">
                  <c:v>6.97</c:v>
                </c:pt>
                <c:pt idx="137">
                  <c:v>7.81</c:v>
                </c:pt>
                <c:pt idx="138">
                  <c:v>5.29</c:v>
                </c:pt>
                <c:pt idx="139">
                  <c:v>6.18</c:v>
                </c:pt>
                <c:pt idx="140">
                  <c:v>5.33</c:v>
                </c:pt>
                <c:pt idx="141">
                  <c:v>10.76</c:v>
                </c:pt>
                <c:pt idx="142">
                  <c:v>21.82</c:v>
                </c:pt>
                <c:pt idx="143">
                  <c:v>12.61</c:v>
                </c:pt>
                <c:pt idx="144">
                  <c:v>9.75</c:v>
                </c:pt>
                <c:pt idx="145">
                  <c:v>8.84</c:v>
                </c:pt>
                <c:pt idx="146">
                  <c:v>6.67</c:v>
                </c:pt>
                <c:pt idx="147">
                  <c:v>7.5</c:v>
                </c:pt>
                <c:pt idx="148">
                  <c:v>11.45</c:v>
                </c:pt>
                <c:pt idx="149">
                  <c:v>23.24</c:v>
                </c:pt>
                <c:pt idx="150">
                  <c:v>4.6500000000000004</c:v>
                </c:pt>
                <c:pt idx="151">
                  <c:v>11.16</c:v>
                </c:pt>
                <c:pt idx="152">
                  <c:v>7.49</c:v>
                </c:pt>
                <c:pt idx="153">
                  <c:v>5.89</c:v>
                </c:pt>
                <c:pt idx="154">
                  <c:v>6.74</c:v>
                </c:pt>
                <c:pt idx="155">
                  <c:v>8.66</c:v>
                </c:pt>
                <c:pt idx="156">
                  <c:v>7.88</c:v>
                </c:pt>
                <c:pt idx="157">
                  <c:v>10.220000000000001</c:v>
                </c:pt>
                <c:pt idx="158">
                  <c:v>6.9</c:v>
                </c:pt>
                <c:pt idx="159">
                  <c:v>35.880000000000003</c:v>
                </c:pt>
                <c:pt idx="160">
                  <c:v>21.15</c:v>
                </c:pt>
                <c:pt idx="161">
                  <c:v>17.89</c:v>
                </c:pt>
                <c:pt idx="162">
                  <c:v>7.35</c:v>
                </c:pt>
                <c:pt idx="163">
                  <c:v>11.19</c:v>
                </c:pt>
                <c:pt idx="164">
                  <c:v>11.01</c:v>
                </c:pt>
                <c:pt idx="165">
                  <c:v>10.52</c:v>
                </c:pt>
                <c:pt idx="166">
                  <c:v>13.74</c:v>
                </c:pt>
                <c:pt idx="167">
                  <c:v>31.38</c:v>
                </c:pt>
                <c:pt idx="168">
                  <c:v>10.88</c:v>
                </c:pt>
                <c:pt idx="169">
                  <c:v>9.02</c:v>
                </c:pt>
                <c:pt idx="170">
                  <c:v>15.6</c:v>
                </c:pt>
                <c:pt idx="171">
                  <c:v>7.26</c:v>
                </c:pt>
                <c:pt idx="172">
                  <c:v>8.66</c:v>
                </c:pt>
                <c:pt idx="173">
                  <c:v>26.28</c:v>
                </c:pt>
                <c:pt idx="174">
                  <c:v>19.57</c:v>
                </c:pt>
                <c:pt idx="175">
                  <c:v>13.85</c:v>
                </c:pt>
                <c:pt idx="176">
                  <c:v>10.66</c:v>
                </c:pt>
                <c:pt idx="177">
                  <c:v>7.7</c:v>
                </c:pt>
                <c:pt idx="178">
                  <c:v>8.6199999999999992</c:v>
                </c:pt>
                <c:pt idx="179">
                  <c:v>8.4600000000000009</c:v>
                </c:pt>
                <c:pt idx="180">
                  <c:v>8.25</c:v>
                </c:pt>
                <c:pt idx="181">
                  <c:v>7.2</c:v>
                </c:pt>
                <c:pt idx="182">
                  <c:v>7.91</c:v>
                </c:pt>
                <c:pt idx="183">
                  <c:v>10.01</c:v>
                </c:pt>
                <c:pt idx="184">
                  <c:v>13.85</c:v>
                </c:pt>
                <c:pt idx="185">
                  <c:v>9.0500000000000007</c:v>
                </c:pt>
                <c:pt idx="186">
                  <c:v>10.57</c:v>
                </c:pt>
                <c:pt idx="187">
                  <c:v>18.600000000000001</c:v>
                </c:pt>
                <c:pt idx="188">
                  <c:v>8.94</c:v>
                </c:pt>
                <c:pt idx="189">
                  <c:v>12.38</c:v>
                </c:pt>
                <c:pt idx="190">
                  <c:v>7.42</c:v>
                </c:pt>
                <c:pt idx="191">
                  <c:v>23.31</c:v>
                </c:pt>
                <c:pt idx="192">
                  <c:v>8.4499999999999993</c:v>
                </c:pt>
                <c:pt idx="193">
                  <c:v>5.04</c:v>
                </c:pt>
                <c:pt idx="194">
                  <c:v>9.98</c:v>
                </c:pt>
                <c:pt idx="195">
                  <c:v>18.12</c:v>
                </c:pt>
                <c:pt idx="196">
                  <c:v>9.6999999999999993</c:v>
                </c:pt>
                <c:pt idx="197">
                  <c:v>37.049999999999997</c:v>
                </c:pt>
                <c:pt idx="198">
                  <c:v>12.17</c:v>
                </c:pt>
                <c:pt idx="199">
                  <c:v>7.71</c:v>
                </c:pt>
                <c:pt idx="200">
                  <c:v>8.16</c:v>
                </c:pt>
                <c:pt idx="201">
                  <c:v>8.4</c:v>
                </c:pt>
                <c:pt idx="202">
                  <c:v>10.47</c:v>
                </c:pt>
                <c:pt idx="203">
                  <c:v>8.5399999999999991</c:v>
                </c:pt>
                <c:pt idx="204">
                  <c:v>6.36</c:v>
                </c:pt>
                <c:pt idx="205">
                  <c:v>6.29</c:v>
                </c:pt>
                <c:pt idx="206">
                  <c:v>9.1</c:v>
                </c:pt>
                <c:pt idx="207">
                  <c:v>7.99</c:v>
                </c:pt>
                <c:pt idx="208">
                  <c:v>13.52</c:v>
                </c:pt>
                <c:pt idx="209">
                  <c:v>14.4</c:v>
                </c:pt>
                <c:pt idx="210">
                  <c:v>12.07</c:v>
                </c:pt>
                <c:pt idx="211">
                  <c:v>17.670000000000002</c:v>
                </c:pt>
                <c:pt idx="212">
                  <c:v>4.79</c:v>
                </c:pt>
                <c:pt idx="213">
                  <c:v>5.53</c:v>
                </c:pt>
                <c:pt idx="214">
                  <c:v>13.23</c:v>
                </c:pt>
                <c:pt idx="215">
                  <c:v>13.65</c:v>
                </c:pt>
                <c:pt idx="216">
                  <c:v>5.93</c:v>
                </c:pt>
                <c:pt idx="217">
                  <c:v>8.89</c:v>
                </c:pt>
                <c:pt idx="218">
                  <c:v>11.56</c:v>
                </c:pt>
                <c:pt idx="219">
                  <c:v>9.41</c:v>
                </c:pt>
                <c:pt idx="220">
                  <c:v>8.49</c:v>
                </c:pt>
                <c:pt idx="221">
                  <c:v>6.37</c:v>
                </c:pt>
                <c:pt idx="222">
                  <c:v>9.93</c:v>
                </c:pt>
                <c:pt idx="223">
                  <c:v>20.99</c:v>
                </c:pt>
                <c:pt idx="224">
                  <c:v>13.81</c:v>
                </c:pt>
                <c:pt idx="225">
                  <c:v>10.34</c:v>
                </c:pt>
                <c:pt idx="226">
                  <c:v>12.52</c:v>
                </c:pt>
                <c:pt idx="227">
                  <c:v>15</c:v>
                </c:pt>
                <c:pt idx="228">
                  <c:v>14.74</c:v>
                </c:pt>
                <c:pt idx="229">
                  <c:v>10.51</c:v>
                </c:pt>
                <c:pt idx="230">
                  <c:v>16.440000000000001</c:v>
                </c:pt>
                <c:pt idx="231">
                  <c:v>12.86</c:v>
                </c:pt>
                <c:pt idx="232">
                  <c:v>14.53</c:v>
                </c:pt>
                <c:pt idx="233">
                  <c:v>8.89</c:v>
                </c:pt>
                <c:pt idx="234">
                  <c:v>11.11</c:v>
                </c:pt>
                <c:pt idx="235">
                  <c:v>11.77</c:v>
                </c:pt>
                <c:pt idx="236">
                  <c:v>9.5500000000000007</c:v>
                </c:pt>
                <c:pt idx="237">
                  <c:v>7.03</c:v>
                </c:pt>
                <c:pt idx="238">
                  <c:v>8.4499999999999993</c:v>
                </c:pt>
                <c:pt idx="239">
                  <c:v>8.6999999999999993</c:v>
                </c:pt>
                <c:pt idx="240">
                  <c:v>9.09</c:v>
                </c:pt>
                <c:pt idx="241">
                  <c:v>8.9700000000000006</c:v>
                </c:pt>
                <c:pt idx="242">
                  <c:v>8.08</c:v>
                </c:pt>
                <c:pt idx="243">
                  <c:v>14.03</c:v>
                </c:pt>
                <c:pt idx="244">
                  <c:v>7.08</c:v>
                </c:pt>
                <c:pt idx="245">
                  <c:v>10.67</c:v>
                </c:pt>
                <c:pt idx="246">
                  <c:v>19.96</c:v>
                </c:pt>
                <c:pt idx="247">
                  <c:v>8.48</c:v>
                </c:pt>
                <c:pt idx="248">
                  <c:v>63.57</c:v>
                </c:pt>
                <c:pt idx="249">
                  <c:v>52.04</c:v>
                </c:pt>
                <c:pt idx="250">
                  <c:v>17.170000000000002</c:v>
                </c:pt>
                <c:pt idx="251">
                  <c:v>20.6</c:v>
                </c:pt>
                <c:pt idx="252">
                  <c:v>17.850000000000001</c:v>
                </c:pt>
                <c:pt idx="253">
                  <c:v>17.54</c:v>
                </c:pt>
                <c:pt idx="254">
                  <c:v>20.59</c:v>
                </c:pt>
                <c:pt idx="255">
                  <c:v>15.44</c:v>
                </c:pt>
                <c:pt idx="256">
                  <c:v>12.36</c:v>
                </c:pt>
                <c:pt idx="257">
                  <c:v>18.09</c:v>
                </c:pt>
                <c:pt idx="258">
                  <c:v>21.26</c:v>
                </c:pt>
                <c:pt idx="259">
                  <c:v>21.5</c:v>
                </c:pt>
                <c:pt idx="260">
                  <c:v>24.29</c:v>
                </c:pt>
                <c:pt idx="261">
                  <c:v>25.07</c:v>
                </c:pt>
                <c:pt idx="262">
                  <c:v>14.71</c:v>
                </c:pt>
                <c:pt idx="263">
                  <c:v>9.99</c:v>
                </c:pt>
                <c:pt idx="264">
                  <c:v>16.059999999999999</c:v>
                </c:pt>
                <c:pt idx="265">
                  <c:v>13.65</c:v>
                </c:pt>
                <c:pt idx="266">
                  <c:v>12.83</c:v>
                </c:pt>
                <c:pt idx="267">
                  <c:v>18.28</c:v>
                </c:pt>
                <c:pt idx="268">
                  <c:v>12.83</c:v>
                </c:pt>
                <c:pt idx="269">
                  <c:v>16.79</c:v>
                </c:pt>
                <c:pt idx="270">
                  <c:v>32.590000000000003</c:v>
                </c:pt>
                <c:pt idx="271">
                  <c:v>3.13</c:v>
                </c:pt>
                <c:pt idx="272">
                  <c:v>11.94</c:v>
                </c:pt>
                <c:pt idx="273">
                  <c:v>34.29</c:v>
                </c:pt>
                <c:pt idx="274">
                  <c:v>16.649999999999999</c:v>
                </c:pt>
                <c:pt idx="275">
                  <c:v>12.57</c:v>
                </c:pt>
                <c:pt idx="276">
                  <c:v>7.9</c:v>
                </c:pt>
                <c:pt idx="277">
                  <c:v>10.28</c:v>
                </c:pt>
                <c:pt idx="278">
                  <c:v>8.86</c:v>
                </c:pt>
                <c:pt idx="279">
                  <c:v>14.78</c:v>
                </c:pt>
                <c:pt idx="280">
                  <c:v>11.9</c:v>
                </c:pt>
                <c:pt idx="281">
                  <c:v>7.25</c:v>
                </c:pt>
                <c:pt idx="282">
                  <c:v>10.27</c:v>
                </c:pt>
                <c:pt idx="283">
                  <c:v>8.8800000000000008</c:v>
                </c:pt>
                <c:pt idx="284">
                  <c:v>16.739999999999998</c:v>
                </c:pt>
                <c:pt idx="285">
                  <c:v>7.86</c:v>
                </c:pt>
                <c:pt idx="286">
                  <c:v>12.15</c:v>
                </c:pt>
                <c:pt idx="287">
                  <c:v>9.98</c:v>
                </c:pt>
                <c:pt idx="288">
                  <c:v>10.39</c:v>
                </c:pt>
                <c:pt idx="289">
                  <c:v>16.37</c:v>
                </c:pt>
                <c:pt idx="290">
                  <c:v>10.59</c:v>
                </c:pt>
                <c:pt idx="291">
                  <c:v>19.78</c:v>
                </c:pt>
                <c:pt idx="292">
                  <c:v>8.84</c:v>
                </c:pt>
                <c:pt idx="293">
                  <c:v>10.99</c:v>
                </c:pt>
                <c:pt idx="294">
                  <c:v>9.81</c:v>
                </c:pt>
                <c:pt idx="295">
                  <c:v>9.9700000000000006</c:v>
                </c:pt>
                <c:pt idx="296">
                  <c:v>8.1300000000000008</c:v>
                </c:pt>
                <c:pt idx="297">
                  <c:v>11.95</c:v>
                </c:pt>
                <c:pt idx="298">
                  <c:v>11.27</c:v>
                </c:pt>
                <c:pt idx="299">
                  <c:v>10.37</c:v>
                </c:pt>
                <c:pt idx="300">
                  <c:v>6.72</c:v>
                </c:pt>
                <c:pt idx="301">
                  <c:v>15.38</c:v>
                </c:pt>
                <c:pt idx="302">
                  <c:v>13.8</c:v>
                </c:pt>
                <c:pt idx="303">
                  <c:v>10.31</c:v>
                </c:pt>
                <c:pt idx="304">
                  <c:v>8.2100000000000009</c:v>
                </c:pt>
                <c:pt idx="305">
                  <c:v>12.01</c:v>
                </c:pt>
                <c:pt idx="306">
                  <c:v>15.92</c:v>
                </c:pt>
                <c:pt idx="307">
                  <c:v>17.13</c:v>
                </c:pt>
                <c:pt idx="308">
                  <c:v>9.34</c:v>
                </c:pt>
                <c:pt idx="309">
                  <c:v>13.96</c:v>
                </c:pt>
                <c:pt idx="310">
                  <c:v>19.079999999999998</c:v>
                </c:pt>
                <c:pt idx="311">
                  <c:v>7.9</c:v>
                </c:pt>
                <c:pt idx="312">
                  <c:v>14.46</c:v>
                </c:pt>
                <c:pt idx="313">
                  <c:v>8.7100000000000009</c:v>
                </c:pt>
                <c:pt idx="314">
                  <c:v>13.17</c:v>
                </c:pt>
                <c:pt idx="315">
                  <c:v>7.14</c:v>
                </c:pt>
                <c:pt idx="316">
                  <c:v>4.21</c:v>
                </c:pt>
                <c:pt idx="317">
                  <c:v>8.4</c:v>
                </c:pt>
                <c:pt idx="318">
                  <c:v>9.2799999999999994</c:v>
                </c:pt>
                <c:pt idx="319">
                  <c:v>7.64</c:v>
                </c:pt>
                <c:pt idx="320">
                  <c:v>8.42</c:v>
                </c:pt>
                <c:pt idx="321">
                  <c:v>7.04</c:v>
                </c:pt>
                <c:pt idx="322">
                  <c:v>9.4499999999999993</c:v>
                </c:pt>
                <c:pt idx="323">
                  <c:v>9.9700000000000006</c:v>
                </c:pt>
                <c:pt idx="324">
                  <c:v>12.24</c:v>
                </c:pt>
                <c:pt idx="325">
                  <c:v>11.84</c:v>
                </c:pt>
                <c:pt idx="326">
                  <c:v>5.48</c:v>
                </c:pt>
                <c:pt idx="327">
                  <c:v>9.3699999999999992</c:v>
                </c:pt>
                <c:pt idx="328">
                  <c:v>7.39</c:v>
                </c:pt>
                <c:pt idx="329">
                  <c:v>8.02</c:v>
                </c:pt>
                <c:pt idx="330">
                  <c:v>9.57</c:v>
                </c:pt>
                <c:pt idx="331">
                  <c:v>7.65</c:v>
                </c:pt>
                <c:pt idx="332">
                  <c:v>6.12</c:v>
                </c:pt>
                <c:pt idx="333">
                  <c:v>6.8</c:v>
                </c:pt>
                <c:pt idx="334">
                  <c:v>6.84</c:v>
                </c:pt>
                <c:pt idx="335">
                  <c:v>14.58</c:v>
                </c:pt>
                <c:pt idx="336">
                  <c:v>20.47</c:v>
                </c:pt>
                <c:pt idx="337">
                  <c:v>10.39</c:v>
                </c:pt>
                <c:pt idx="338">
                  <c:v>18.46</c:v>
                </c:pt>
                <c:pt idx="339">
                  <c:v>42.27</c:v>
                </c:pt>
                <c:pt idx="340">
                  <c:v>79.760000000000005</c:v>
                </c:pt>
                <c:pt idx="341">
                  <c:v>35.770000000000003</c:v>
                </c:pt>
                <c:pt idx="342">
                  <c:v>21.25</c:v>
                </c:pt>
                <c:pt idx="343">
                  <c:v>27.39</c:v>
                </c:pt>
                <c:pt idx="344">
                  <c:v>17.13</c:v>
                </c:pt>
                <c:pt idx="345">
                  <c:v>9.6199999999999992</c:v>
                </c:pt>
                <c:pt idx="346">
                  <c:v>29.8</c:v>
                </c:pt>
                <c:pt idx="347">
                  <c:v>9.93</c:v>
                </c:pt>
                <c:pt idx="348">
                  <c:v>9.15</c:v>
                </c:pt>
                <c:pt idx="349">
                  <c:v>13.73</c:v>
                </c:pt>
                <c:pt idx="350">
                  <c:v>15.56</c:v>
                </c:pt>
                <c:pt idx="351">
                  <c:v>20.93</c:v>
                </c:pt>
                <c:pt idx="352">
                  <c:v>9.0500000000000007</c:v>
                </c:pt>
                <c:pt idx="353">
                  <c:v>15.59</c:v>
                </c:pt>
                <c:pt idx="354">
                  <c:v>16.59</c:v>
                </c:pt>
                <c:pt idx="355">
                  <c:v>15.31</c:v>
                </c:pt>
                <c:pt idx="356">
                  <c:v>17.87</c:v>
                </c:pt>
                <c:pt idx="357">
                  <c:v>17.27</c:v>
                </c:pt>
                <c:pt idx="358">
                  <c:v>32.630000000000003</c:v>
                </c:pt>
                <c:pt idx="359">
                  <c:v>18.559999999999999</c:v>
                </c:pt>
                <c:pt idx="360">
                  <c:v>17.95</c:v>
                </c:pt>
                <c:pt idx="361">
                  <c:v>27.66</c:v>
                </c:pt>
                <c:pt idx="362">
                  <c:v>20.03</c:v>
                </c:pt>
                <c:pt idx="363">
                  <c:v>26.76</c:v>
                </c:pt>
                <c:pt idx="364">
                  <c:v>21.8</c:v>
                </c:pt>
                <c:pt idx="365">
                  <c:v>27.96</c:v>
                </c:pt>
                <c:pt idx="366">
                  <c:v>52.04</c:v>
                </c:pt>
                <c:pt idx="367">
                  <c:v>61.59</c:v>
                </c:pt>
                <c:pt idx="368">
                  <c:v>33.26</c:v>
                </c:pt>
                <c:pt idx="369">
                  <c:v>47.66</c:v>
                </c:pt>
                <c:pt idx="370">
                  <c:v>50.25</c:v>
                </c:pt>
                <c:pt idx="371">
                  <c:v>89.75</c:v>
                </c:pt>
                <c:pt idx="372">
                  <c:v>62</c:v>
                </c:pt>
                <c:pt idx="373">
                  <c:v>51.35</c:v>
                </c:pt>
                <c:pt idx="374">
                  <c:v>52.57</c:v>
                </c:pt>
                <c:pt idx="375">
                  <c:v>62.51</c:v>
                </c:pt>
                <c:pt idx="376">
                  <c:v>58.44</c:v>
                </c:pt>
                <c:pt idx="377">
                  <c:v>32.64</c:v>
                </c:pt>
                <c:pt idx="378">
                  <c:v>28.12</c:v>
                </c:pt>
                <c:pt idx="379">
                  <c:v>42.63</c:v>
                </c:pt>
                <c:pt idx="380">
                  <c:v>18.14</c:v>
                </c:pt>
                <c:pt idx="381">
                  <c:v>62.87</c:v>
                </c:pt>
                <c:pt idx="382">
                  <c:v>36.119999999999997</c:v>
                </c:pt>
                <c:pt idx="383">
                  <c:v>37.56</c:v>
                </c:pt>
                <c:pt idx="384">
                  <c:v>42.64</c:v>
                </c:pt>
                <c:pt idx="385">
                  <c:v>17.739999999999998</c:v>
                </c:pt>
                <c:pt idx="386">
                  <c:v>49.09</c:v>
                </c:pt>
                <c:pt idx="387">
                  <c:v>27.08</c:v>
                </c:pt>
                <c:pt idx="388">
                  <c:v>26.67</c:v>
                </c:pt>
                <c:pt idx="389">
                  <c:v>35.770000000000003</c:v>
                </c:pt>
                <c:pt idx="390">
                  <c:v>23.33</c:v>
                </c:pt>
                <c:pt idx="391">
                  <c:v>25.16</c:v>
                </c:pt>
                <c:pt idx="392">
                  <c:v>32.97</c:v>
                </c:pt>
                <c:pt idx="393">
                  <c:v>18.05</c:v>
                </c:pt>
                <c:pt idx="394">
                  <c:v>13.09</c:v>
                </c:pt>
                <c:pt idx="395">
                  <c:v>17.8</c:v>
                </c:pt>
                <c:pt idx="396">
                  <c:v>21.46</c:v>
                </c:pt>
                <c:pt idx="397">
                  <c:v>30.17</c:v>
                </c:pt>
                <c:pt idx="398">
                  <c:v>30.3</c:v>
                </c:pt>
                <c:pt idx="399">
                  <c:v>17.71</c:v>
                </c:pt>
                <c:pt idx="400">
                  <c:v>65.59</c:v>
                </c:pt>
                <c:pt idx="401">
                  <c:v>24.25</c:v>
                </c:pt>
                <c:pt idx="402">
                  <c:v>25.31</c:v>
                </c:pt>
                <c:pt idx="403">
                  <c:v>18.100000000000001</c:v>
                </c:pt>
                <c:pt idx="404">
                  <c:v>21.39</c:v>
                </c:pt>
                <c:pt idx="405">
                  <c:v>20.02</c:v>
                </c:pt>
                <c:pt idx="406">
                  <c:v>14.95</c:v>
                </c:pt>
                <c:pt idx="407">
                  <c:v>14.95</c:v>
                </c:pt>
                <c:pt idx="408">
                  <c:v>20.8</c:v>
                </c:pt>
                <c:pt idx="409">
                  <c:v>20.14</c:v>
                </c:pt>
                <c:pt idx="410">
                  <c:v>25.32</c:v>
                </c:pt>
                <c:pt idx="411">
                  <c:v>58.38</c:v>
                </c:pt>
                <c:pt idx="412">
                  <c:v>39.01</c:v>
                </c:pt>
                <c:pt idx="413">
                  <c:v>53.24</c:v>
                </c:pt>
                <c:pt idx="414">
                  <c:v>24.55</c:v>
                </c:pt>
                <c:pt idx="415">
                  <c:v>24.58</c:v>
                </c:pt>
                <c:pt idx="416">
                  <c:v>35.840000000000003</c:v>
                </c:pt>
                <c:pt idx="417">
                  <c:v>28.51</c:v>
                </c:pt>
                <c:pt idx="418">
                  <c:v>22.63</c:v>
                </c:pt>
                <c:pt idx="419">
                  <c:v>18.98</c:v>
                </c:pt>
                <c:pt idx="420">
                  <c:v>22</c:v>
                </c:pt>
                <c:pt idx="421">
                  <c:v>14.63</c:v>
                </c:pt>
                <c:pt idx="422">
                  <c:v>19.559999999999999</c:v>
                </c:pt>
                <c:pt idx="423">
                  <c:v>39.909999999999997</c:v>
                </c:pt>
                <c:pt idx="424">
                  <c:v>27.2</c:v>
                </c:pt>
                <c:pt idx="425">
                  <c:v>19.850000000000001</c:v>
                </c:pt>
                <c:pt idx="426">
                  <c:v>22.56</c:v>
                </c:pt>
                <c:pt idx="427">
                  <c:v>24.46</c:v>
                </c:pt>
                <c:pt idx="428">
                  <c:v>27.64</c:v>
                </c:pt>
                <c:pt idx="429">
                  <c:v>24.03</c:v>
                </c:pt>
                <c:pt idx="430">
                  <c:v>28.89</c:v>
                </c:pt>
                <c:pt idx="431">
                  <c:v>30.53</c:v>
                </c:pt>
                <c:pt idx="432">
                  <c:v>31.4</c:v>
                </c:pt>
                <c:pt idx="433">
                  <c:v>26.55</c:v>
                </c:pt>
                <c:pt idx="434">
                  <c:v>54.65</c:v>
                </c:pt>
                <c:pt idx="435">
                  <c:v>75.58</c:v>
                </c:pt>
                <c:pt idx="436">
                  <c:v>71.959999999999994</c:v>
                </c:pt>
                <c:pt idx="437">
                  <c:v>91.5</c:v>
                </c:pt>
                <c:pt idx="438">
                  <c:v>41.22</c:v>
                </c:pt>
                <c:pt idx="439">
                  <c:v>44.3</c:v>
                </c:pt>
                <c:pt idx="440">
                  <c:v>39.32</c:v>
                </c:pt>
                <c:pt idx="441">
                  <c:v>37.9</c:v>
                </c:pt>
                <c:pt idx="442">
                  <c:v>34.71</c:v>
                </c:pt>
                <c:pt idx="443">
                  <c:v>31.28</c:v>
                </c:pt>
                <c:pt idx="444">
                  <c:v>21.28</c:v>
                </c:pt>
                <c:pt idx="445">
                  <c:v>18.77</c:v>
                </c:pt>
                <c:pt idx="446">
                  <c:v>16.190000000000001</c:v>
                </c:pt>
                <c:pt idx="447">
                  <c:v>20.3</c:v>
                </c:pt>
                <c:pt idx="448">
                  <c:v>18.48</c:v>
                </c:pt>
                <c:pt idx="449">
                  <c:v>23.78</c:v>
                </c:pt>
                <c:pt idx="450">
                  <c:v>22.14</c:v>
                </c:pt>
                <c:pt idx="451">
                  <c:v>14.88</c:v>
                </c:pt>
                <c:pt idx="452">
                  <c:v>18.920000000000002</c:v>
                </c:pt>
                <c:pt idx="453">
                  <c:v>28.01</c:v>
                </c:pt>
                <c:pt idx="454">
                  <c:v>32.57</c:v>
                </c:pt>
                <c:pt idx="455">
                  <c:v>31.49</c:v>
                </c:pt>
                <c:pt idx="456">
                  <c:v>60.19</c:v>
                </c:pt>
                <c:pt idx="457">
                  <c:v>22.65</c:v>
                </c:pt>
                <c:pt idx="458">
                  <c:v>19.29</c:v>
                </c:pt>
                <c:pt idx="459">
                  <c:v>14.83</c:v>
                </c:pt>
                <c:pt idx="460">
                  <c:v>16.32</c:v>
                </c:pt>
                <c:pt idx="461">
                  <c:v>16.649999999999999</c:v>
                </c:pt>
                <c:pt idx="462">
                  <c:v>13.27</c:v>
                </c:pt>
                <c:pt idx="463">
                  <c:v>17.190000000000001</c:v>
                </c:pt>
                <c:pt idx="464">
                  <c:v>48.77</c:v>
                </c:pt>
                <c:pt idx="465">
                  <c:v>17.89</c:v>
                </c:pt>
                <c:pt idx="466">
                  <c:v>20.91</c:v>
                </c:pt>
                <c:pt idx="467">
                  <c:v>16.47</c:v>
                </c:pt>
                <c:pt idx="468">
                  <c:v>55.14</c:v>
                </c:pt>
                <c:pt idx="469">
                  <c:v>21.29</c:v>
                </c:pt>
                <c:pt idx="470">
                  <c:v>22.7</c:v>
                </c:pt>
                <c:pt idx="471">
                  <c:v>28.75</c:v>
                </c:pt>
                <c:pt idx="472">
                  <c:v>11.74</c:v>
                </c:pt>
                <c:pt idx="473">
                  <c:v>12.49</c:v>
                </c:pt>
                <c:pt idx="474">
                  <c:v>15.47</c:v>
                </c:pt>
                <c:pt idx="475">
                  <c:v>16.91</c:v>
                </c:pt>
                <c:pt idx="476">
                  <c:v>17.23</c:v>
                </c:pt>
                <c:pt idx="477">
                  <c:v>14.74</c:v>
                </c:pt>
                <c:pt idx="478">
                  <c:v>15.2</c:v>
                </c:pt>
                <c:pt idx="479">
                  <c:v>22.63</c:v>
                </c:pt>
                <c:pt idx="480">
                  <c:v>47.21</c:v>
                </c:pt>
                <c:pt idx="481">
                  <c:v>34.65</c:v>
                </c:pt>
                <c:pt idx="482">
                  <c:v>97</c:v>
                </c:pt>
                <c:pt idx="483">
                  <c:v>39.78</c:v>
                </c:pt>
                <c:pt idx="484">
                  <c:v>20.59</c:v>
                </c:pt>
                <c:pt idx="485">
                  <c:v>15.69</c:v>
                </c:pt>
                <c:pt idx="486">
                  <c:v>41.39</c:v>
                </c:pt>
                <c:pt idx="487">
                  <c:v>32.659999999999997</c:v>
                </c:pt>
                <c:pt idx="488">
                  <c:v>25.59</c:v>
                </c:pt>
                <c:pt idx="489">
                  <c:v>27.83</c:v>
                </c:pt>
                <c:pt idx="490">
                  <c:v>17.79</c:v>
                </c:pt>
                <c:pt idx="491">
                  <c:v>19.260000000000002</c:v>
                </c:pt>
                <c:pt idx="492">
                  <c:v>30.99</c:v>
                </c:pt>
                <c:pt idx="493">
                  <c:v>30.77</c:v>
                </c:pt>
                <c:pt idx="494">
                  <c:v>50.65</c:v>
                </c:pt>
                <c:pt idx="495">
                  <c:v>33.94</c:v>
                </c:pt>
                <c:pt idx="496">
                  <c:v>29.78</c:v>
                </c:pt>
                <c:pt idx="497">
                  <c:v>23.89</c:v>
                </c:pt>
                <c:pt idx="498">
                  <c:v>18.53</c:v>
                </c:pt>
                <c:pt idx="499">
                  <c:v>61.79</c:v>
                </c:pt>
                <c:pt idx="500">
                  <c:v>31.49</c:v>
                </c:pt>
                <c:pt idx="501">
                  <c:v>26.63</c:v>
                </c:pt>
                <c:pt idx="502">
                  <c:v>23.19</c:v>
                </c:pt>
                <c:pt idx="503">
                  <c:v>25.62</c:v>
                </c:pt>
                <c:pt idx="504">
                  <c:v>18.48</c:v>
                </c:pt>
                <c:pt idx="505">
                  <c:v>19.760000000000002</c:v>
                </c:pt>
                <c:pt idx="506">
                  <c:v>24.3</c:v>
                </c:pt>
                <c:pt idx="507">
                  <c:v>21.89</c:v>
                </c:pt>
                <c:pt idx="508">
                  <c:v>16.29</c:v>
                </c:pt>
                <c:pt idx="509">
                  <c:v>25.5</c:v>
                </c:pt>
                <c:pt idx="510">
                  <c:v>22.37</c:v>
                </c:pt>
                <c:pt idx="511">
                  <c:v>66.25</c:v>
                </c:pt>
                <c:pt idx="512">
                  <c:v>35.69</c:v>
                </c:pt>
                <c:pt idx="513">
                  <c:v>38.22</c:v>
                </c:pt>
                <c:pt idx="514">
                  <c:v>27.12</c:v>
                </c:pt>
                <c:pt idx="515">
                  <c:v>20.23</c:v>
                </c:pt>
                <c:pt idx="516">
                  <c:v>19.02</c:v>
                </c:pt>
                <c:pt idx="517">
                  <c:v>16.149999999999999</c:v>
                </c:pt>
                <c:pt idx="518">
                  <c:v>16.48</c:v>
                </c:pt>
                <c:pt idx="519">
                  <c:v>22.04</c:v>
                </c:pt>
                <c:pt idx="520">
                  <c:v>20.149999999999999</c:v>
                </c:pt>
                <c:pt idx="521">
                  <c:v>16.079999999999998</c:v>
                </c:pt>
                <c:pt idx="522">
                  <c:v>45.89</c:v>
                </c:pt>
                <c:pt idx="523">
                  <c:v>16.82</c:v>
                </c:pt>
                <c:pt idx="524">
                  <c:v>21.01</c:v>
                </c:pt>
                <c:pt idx="525">
                  <c:v>16.350000000000001</c:v>
                </c:pt>
                <c:pt idx="526">
                  <c:v>14.37</c:v>
                </c:pt>
                <c:pt idx="527">
                  <c:v>22.6</c:v>
                </c:pt>
                <c:pt idx="528">
                  <c:v>18.809999999999999</c:v>
                </c:pt>
                <c:pt idx="529">
                  <c:v>27</c:v>
                </c:pt>
                <c:pt idx="530">
                  <c:v>34.25</c:v>
                </c:pt>
                <c:pt idx="531">
                  <c:v>35.29</c:v>
                </c:pt>
                <c:pt idx="532">
                  <c:v>57.46</c:v>
                </c:pt>
                <c:pt idx="533">
                  <c:v>63.32</c:v>
                </c:pt>
                <c:pt idx="534">
                  <c:v>46.37</c:v>
                </c:pt>
                <c:pt idx="535">
                  <c:v>28.2</c:v>
                </c:pt>
                <c:pt idx="536">
                  <c:v>7.77</c:v>
                </c:pt>
                <c:pt idx="537">
                  <c:v>20.95</c:v>
                </c:pt>
                <c:pt idx="538">
                  <c:v>26.6</c:v>
                </c:pt>
                <c:pt idx="539">
                  <c:v>48.98</c:v>
                </c:pt>
                <c:pt idx="540">
                  <c:v>45.31</c:v>
                </c:pt>
                <c:pt idx="541">
                  <c:v>23.18</c:v>
                </c:pt>
                <c:pt idx="542">
                  <c:v>45.41</c:v>
                </c:pt>
                <c:pt idx="543">
                  <c:v>41.66</c:v>
                </c:pt>
                <c:pt idx="544">
                  <c:v>24.22</c:v>
                </c:pt>
                <c:pt idx="545">
                  <c:v>31.39</c:v>
                </c:pt>
                <c:pt idx="546">
                  <c:v>15.89</c:v>
                </c:pt>
                <c:pt idx="547">
                  <c:v>28.43</c:v>
                </c:pt>
                <c:pt idx="548">
                  <c:v>28.01</c:v>
                </c:pt>
                <c:pt idx="549">
                  <c:v>22.15</c:v>
                </c:pt>
                <c:pt idx="550">
                  <c:v>35.69</c:v>
                </c:pt>
                <c:pt idx="551">
                  <c:v>30.85</c:v>
                </c:pt>
                <c:pt idx="552">
                  <c:v>39.68</c:v>
                </c:pt>
                <c:pt idx="553">
                  <c:v>65.23</c:v>
                </c:pt>
                <c:pt idx="554">
                  <c:v>60.32</c:v>
                </c:pt>
                <c:pt idx="555">
                  <c:v>26.99</c:v>
                </c:pt>
                <c:pt idx="556">
                  <c:v>23.26</c:v>
                </c:pt>
                <c:pt idx="557">
                  <c:v>19.55</c:v>
                </c:pt>
                <c:pt idx="558">
                  <c:v>22.39</c:v>
                </c:pt>
                <c:pt idx="559">
                  <c:v>23.78</c:v>
                </c:pt>
                <c:pt idx="560">
                  <c:v>41.83</c:v>
                </c:pt>
                <c:pt idx="561">
                  <c:v>40.99</c:v>
                </c:pt>
                <c:pt idx="562">
                  <c:v>23.7</c:v>
                </c:pt>
                <c:pt idx="563">
                  <c:v>22.77</c:v>
                </c:pt>
                <c:pt idx="564">
                  <c:v>15.74</c:v>
                </c:pt>
                <c:pt idx="565">
                  <c:v>26.55</c:v>
                </c:pt>
                <c:pt idx="566">
                  <c:v>18.93</c:v>
                </c:pt>
                <c:pt idx="567">
                  <c:v>18.25</c:v>
                </c:pt>
                <c:pt idx="568">
                  <c:v>19.53</c:v>
                </c:pt>
                <c:pt idx="569">
                  <c:v>26.89</c:v>
                </c:pt>
                <c:pt idx="570">
                  <c:v>18.02</c:v>
                </c:pt>
                <c:pt idx="571">
                  <c:v>49.07</c:v>
                </c:pt>
                <c:pt idx="572">
                  <c:v>34.950000000000003</c:v>
                </c:pt>
                <c:pt idx="573">
                  <c:v>56.43</c:v>
                </c:pt>
                <c:pt idx="574">
                  <c:v>42.97</c:v>
                </c:pt>
                <c:pt idx="575">
                  <c:v>35.619999999999997</c:v>
                </c:pt>
                <c:pt idx="576">
                  <c:v>63.93</c:v>
                </c:pt>
                <c:pt idx="577">
                  <c:v>48.3</c:v>
                </c:pt>
                <c:pt idx="578">
                  <c:v>58.32</c:v>
                </c:pt>
                <c:pt idx="579">
                  <c:v>67.61</c:v>
                </c:pt>
                <c:pt idx="580">
                  <c:v>31.79</c:v>
                </c:pt>
                <c:pt idx="581">
                  <c:v>44.67</c:v>
                </c:pt>
                <c:pt idx="582">
                  <c:v>29</c:v>
                </c:pt>
                <c:pt idx="583">
                  <c:v>24.71</c:v>
                </c:pt>
                <c:pt idx="584">
                  <c:v>24.97</c:v>
                </c:pt>
                <c:pt idx="585">
                  <c:v>48.47</c:v>
                </c:pt>
                <c:pt idx="586">
                  <c:v>22.13</c:v>
                </c:pt>
                <c:pt idx="587">
                  <c:v>23.76</c:v>
                </c:pt>
                <c:pt idx="588">
                  <c:v>57.74</c:v>
                </c:pt>
                <c:pt idx="589">
                  <c:v>48.46</c:v>
                </c:pt>
                <c:pt idx="590">
                  <c:v>53.64</c:v>
                </c:pt>
                <c:pt idx="591">
                  <c:v>105.82</c:v>
                </c:pt>
                <c:pt idx="592">
                  <c:v>125.49</c:v>
                </c:pt>
                <c:pt idx="593">
                  <c:v>41.5</c:v>
                </c:pt>
                <c:pt idx="594">
                  <c:v>70.66</c:v>
                </c:pt>
                <c:pt idx="595">
                  <c:v>47.28</c:v>
                </c:pt>
                <c:pt idx="596">
                  <c:v>43.63</c:v>
                </c:pt>
                <c:pt idx="597">
                  <c:v>110.57</c:v>
                </c:pt>
                <c:pt idx="598">
                  <c:v>31.78</c:v>
                </c:pt>
                <c:pt idx="599">
                  <c:v>29.15</c:v>
                </c:pt>
                <c:pt idx="600">
                  <c:v>19.850000000000001</c:v>
                </c:pt>
                <c:pt idx="601">
                  <c:v>24.07</c:v>
                </c:pt>
                <c:pt idx="602">
                  <c:v>28.13</c:v>
                </c:pt>
                <c:pt idx="603">
                  <c:v>51.55</c:v>
                </c:pt>
                <c:pt idx="604">
                  <c:v>26.68</c:v>
                </c:pt>
                <c:pt idx="605">
                  <c:v>13.16</c:v>
                </c:pt>
                <c:pt idx="606">
                  <c:v>25.95</c:v>
                </c:pt>
                <c:pt idx="607">
                  <c:v>43.43</c:v>
                </c:pt>
                <c:pt idx="608">
                  <c:v>16.23</c:v>
                </c:pt>
                <c:pt idx="609">
                  <c:v>25.6</c:v>
                </c:pt>
                <c:pt idx="610">
                  <c:v>20.85</c:v>
                </c:pt>
                <c:pt idx="611">
                  <c:v>24.9</c:v>
                </c:pt>
                <c:pt idx="612">
                  <c:v>17.32</c:v>
                </c:pt>
                <c:pt idx="613">
                  <c:v>22.99</c:v>
                </c:pt>
                <c:pt idx="614">
                  <c:v>22.59</c:v>
                </c:pt>
                <c:pt idx="615">
                  <c:v>19.600000000000001</c:v>
                </c:pt>
                <c:pt idx="616">
                  <c:v>30.79</c:v>
                </c:pt>
                <c:pt idx="617">
                  <c:v>41.12</c:v>
                </c:pt>
                <c:pt idx="618">
                  <c:v>48.76</c:v>
                </c:pt>
                <c:pt idx="619">
                  <c:v>78.58</c:v>
                </c:pt>
                <c:pt idx="620">
                  <c:v>91.99</c:v>
                </c:pt>
                <c:pt idx="621">
                  <c:v>134.18</c:v>
                </c:pt>
                <c:pt idx="622">
                  <c:v>46.05</c:v>
                </c:pt>
                <c:pt idx="623">
                  <c:v>41.56</c:v>
                </c:pt>
                <c:pt idx="624">
                  <c:v>27.61</c:v>
                </c:pt>
                <c:pt idx="625">
                  <c:v>40.68</c:v>
                </c:pt>
                <c:pt idx="626">
                  <c:v>26.08</c:v>
                </c:pt>
                <c:pt idx="627">
                  <c:v>27.79</c:v>
                </c:pt>
                <c:pt idx="628">
                  <c:v>36.49</c:v>
                </c:pt>
                <c:pt idx="629">
                  <c:v>29.06</c:v>
                </c:pt>
                <c:pt idx="630">
                  <c:v>31.38</c:v>
                </c:pt>
                <c:pt idx="631">
                  <c:v>25.67</c:v>
                </c:pt>
                <c:pt idx="632">
                  <c:v>15.2</c:v>
                </c:pt>
                <c:pt idx="633">
                  <c:v>14.12</c:v>
                </c:pt>
                <c:pt idx="634">
                  <c:v>16.36</c:v>
                </c:pt>
                <c:pt idx="635">
                  <c:v>34.51</c:v>
                </c:pt>
                <c:pt idx="636">
                  <c:v>20.25</c:v>
                </c:pt>
                <c:pt idx="637">
                  <c:v>17.53</c:v>
                </c:pt>
                <c:pt idx="638">
                  <c:v>13.31</c:v>
                </c:pt>
                <c:pt idx="639">
                  <c:v>15.79</c:v>
                </c:pt>
                <c:pt idx="640">
                  <c:v>21.36</c:v>
                </c:pt>
                <c:pt idx="641">
                  <c:v>23.14</c:v>
                </c:pt>
                <c:pt idx="642">
                  <c:v>19.63</c:v>
                </c:pt>
                <c:pt idx="643">
                  <c:v>19.89</c:v>
                </c:pt>
                <c:pt idx="644">
                  <c:v>11.44</c:v>
                </c:pt>
                <c:pt idx="645">
                  <c:v>12.71</c:v>
                </c:pt>
                <c:pt idx="646">
                  <c:v>13.1</c:v>
                </c:pt>
                <c:pt idx="647">
                  <c:v>16.5</c:v>
                </c:pt>
                <c:pt idx="648">
                  <c:v>20.61</c:v>
                </c:pt>
                <c:pt idx="649">
                  <c:v>18.260000000000002</c:v>
                </c:pt>
                <c:pt idx="650">
                  <c:v>13.86</c:v>
                </c:pt>
                <c:pt idx="651">
                  <c:v>14.32</c:v>
                </c:pt>
                <c:pt idx="652">
                  <c:v>19.46</c:v>
                </c:pt>
                <c:pt idx="653">
                  <c:v>16.3</c:v>
                </c:pt>
                <c:pt idx="654">
                  <c:v>13.75</c:v>
                </c:pt>
                <c:pt idx="655">
                  <c:v>16.54</c:v>
                </c:pt>
                <c:pt idx="656">
                  <c:v>61.65</c:v>
                </c:pt>
                <c:pt idx="657">
                  <c:v>38</c:v>
                </c:pt>
                <c:pt idx="658">
                  <c:v>30.48</c:v>
                </c:pt>
                <c:pt idx="659">
                  <c:v>24.41</c:v>
                </c:pt>
                <c:pt idx="660">
                  <c:v>20.88</c:v>
                </c:pt>
                <c:pt idx="661">
                  <c:v>22.64</c:v>
                </c:pt>
                <c:pt idx="662">
                  <c:v>28.87</c:v>
                </c:pt>
                <c:pt idx="663">
                  <c:v>25.33</c:v>
                </c:pt>
                <c:pt idx="664">
                  <c:v>17.579999999999998</c:v>
                </c:pt>
                <c:pt idx="665">
                  <c:v>47.55</c:v>
                </c:pt>
                <c:pt idx="666">
                  <c:v>25.6</c:v>
                </c:pt>
                <c:pt idx="667">
                  <c:v>73.040000000000006</c:v>
                </c:pt>
                <c:pt idx="668">
                  <c:v>38.76</c:v>
                </c:pt>
                <c:pt idx="669">
                  <c:v>96.65</c:v>
                </c:pt>
                <c:pt idx="670">
                  <c:v>46.66</c:v>
                </c:pt>
                <c:pt idx="671">
                  <c:v>30.13</c:v>
                </c:pt>
                <c:pt idx="672">
                  <c:v>31.43</c:v>
                </c:pt>
                <c:pt idx="673">
                  <c:v>21.26</c:v>
                </c:pt>
                <c:pt idx="674">
                  <c:v>24.89</c:v>
                </c:pt>
                <c:pt idx="675">
                  <c:v>30.72</c:v>
                </c:pt>
                <c:pt idx="676">
                  <c:v>21.42</c:v>
                </c:pt>
                <c:pt idx="677">
                  <c:v>17.68</c:v>
                </c:pt>
                <c:pt idx="678">
                  <c:v>14.85</c:v>
                </c:pt>
                <c:pt idx="679">
                  <c:v>20.100000000000001</c:v>
                </c:pt>
                <c:pt idx="680">
                  <c:v>21.48</c:v>
                </c:pt>
                <c:pt idx="681">
                  <c:v>23.57</c:v>
                </c:pt>
                <c:pt idx="682">
                  <c:v>19.07</c:v>
                </c:pt>
                <c:pt idx="683">
                  <c:v>18.04</c:v>
                </c:pt>
                <c:pt idx="684">
                  <c:v>12.58</c:v>
                </c:pt>
                <c:pt idx="685">
                  <c:v>22.44</c:v>
                </c:pt>
                <c:pt idx="686">
                  <c:v>13.88</c:v>
                </c:pt>
                <c:pt idx="687">
                  <c:v>14.63</c:v>
                </c:pt>
                <c:pt idx="688">
                  <c:v>13.33</c:v>
                </c:pt>
                <c:pt idx="689">
                  <c:v>15.94</c:v>
                </c:pt>
                <c:pt idx="690">
                  <c:v>10.19</c:v>
                </c:pt>
                <c:pt idx="691">
                  <c:v>12.7</c:v>
                </c:pt>
                <c:pt idx="692">
                  <c:v>10.25</c:v>
                </c:pt>
                <c:pt idx="693">
                  <c:v>11.09</c:v>
                </c:pt>
                <c:pt idx="694">
                  <c:v>17.88</c:v>
                </c:pt>
                <c:pt idx="695">
                  <c:v>20.93</c:v>
                </c:pt>
                <c:pt idx="696">
                  <c:v>11.83</c:v>
                </c:pt>
                <c:pt idx="697">
                  <c:v>13.09</c:v>
                </c:pt>
                <c:pt idx="698">
                  <c:v>10.83</c:v>
                </c:pt>
                <c:pt idx="699">
                  <c:v>20.48</c:v>
                </c:pt>
                <c:pt idx="700">
                  <c:v>28.85</c:v>
                </c:pt>
                <c:pt idx="701">
                  <c:v>29.02</c:v>
                </c:pt>
                <c:pt idx="702">
                  <c:v>16.46</c:v>
                </c:pt>
                <c:pt idx="703">
                  <c:v>23.66</c:v>
                </c:pt>
                <c:pt idx="704">
                  <c:v>18.309999999999999</c:v>
                </c:pt>
                <c:pt idx="705">
                  <c:v>44.53</c:v>
                </c:pt>
                <c:pt idx="706">
                  <c:v>47.26</c:v>
                </c:pt>
                <c:pt idx="707">
                  <c:v>24.44</c:v>
                </c:pt>
                <c:pt idx="708">
                  <c:v>14.74</c:v>
                </c:pt>
                <c:pt idx="709">
                  <c:v>15.6</c:v>
                </c:pt>
                <c:pt idx="710">
                  <c:v>14.94</c:v>
                </c:pt>
                <c:pt idx="711">
                  <c:v>9.67</c:v>
                </c:pt>
                <c:pt idx="712">
                  <c:v>18.47</c:v>
                </c:pt>
                <c:pt idx="713">
                  <c:v>11</c:v>
                </c:pt>
                <c:pt idx="714">
                  <c:v>47.18</c:v>
                </c:pt>
                <c:pt idx="715">
                  <c:v>23.58</c:v>
                </c:pt>
                <c:pt idx="716">
                  <c:v>20.36</c:v>
                </c:pt>
                <c:pt idx="717">
                  <c:v>18.16</c:v>
                </c:pt>
                <c:pt idx="718">
                  <c:v>15.42</c:v>
                </c:pt>
                <c:pt idx="719">
                  <c:v>27.69</c:v>
                </c:pt>
                <c:pt idx="720">
                  <c:v>18.850000000000001</c:v>
                </c:pt>
                <c:pt idx="721">
                  <c:v>11.19</c:v>
                </c:pt>
                <c:pt idx="722">
                  <c:v>7.86</c:v>
                </c:pt>
                <c:pt idx="723">
                  <c:v>10.74</c:v>
                </c:pt>
                <c:pt idx="724">
                  <c:v>19.420000000000002</c:v>
                </c:pt>
                <c:pt idx="725">
                  <c:v>9.94</c:v>
                </c:pt>
                <c:pt idx="726">
                  <c:v>12.49</c:v>
                </c:pt>
                <c:pt idx="727">
                  <c:v>10.59</c:v>
                </c:pt>
                <c:pt idx="728">
                  <c:v>14.84</c:v>
                </c:pt>
                <c:pt idx="729">
                  <c:v>10.48</c:v>
                </c:pt>
                <c:pt idx="730">
                  <c:v>12.08</c:v>
                </c:pt>
                <c:pt idx="731">
                  <c:v>25.81</c:v>
                </c:pt>
                <c:pt idx="732">
                  <c:v>16.239999999999998</c:v>
                </c:pt>
                <c:pt idx="733">
                  <c:v>14.32</c:v>
                </c:pt>
                <c:pt idx="734">
                  <c:v>10.23</c:v>
                </c:pt>
                <c:pt idx="735">
                  <c:v>10.63</c:v>
                </c:pt>
                <c:pt idx="736">
                  <c:v>37.49</c:v>
                </c:pt>
                <c:pt idx="737">
                  <c:v>17.23</c:v>
                </c:pt>
                <c:pt idx="738">
                  <c:v>19.05</c:v>
                </c:pt>
                <c:pt idx="739">
                  <c:v>16.04</c:v>
                </c:pt>
                <c:pt idx="740">
                  <c:v>19.62</c:v>
                </c:pt>
                <c:pt idx="741">
                  <c:v>20.25</c:v>
                </c:pt>
                <c:pt idx="742">
                  <c:v>149.24</c:v>
                </c:pt>
                <c:pt idx="743">
                  <c:v>79.5</c:v>
                </c:pt>
                <c:pt idx="744">
                  <c:v>70.39</c:v>
                </c:pt>
                <c:pt idx="745">
                  <c:v>56.67</c:v>
                </c:pt>
                <c:pt idx="746">
                  <c:v>52.62</c:v>
                </c:pt>
                <c:pt idx="747">
                  <c:v>21.79</c:v>
                </c:pt>
                <c:pt idx="748">
                  <c:v>24.82</c:v>
                </c:pt>
                <c:pt idx="749">
                  <c:v>22.89</c:v>
                </c:pt>
                <c:pt idx="750">
                  <c:v>15.71</c:v>
                </c:pt>
                <c:pt idx="751">
                  <c:v>15.45</c:v>
                </c:pt>
                <c:pt idx="752">
                  <c:v>16.36</c:v>
                </c:pt>
                <c:pt idx="753">
                  <c:v>15.96</c:v>
                </c:pt>
                <c:pt idx="754">
                  <c:v>10.69</c:v>
                </c:pt>
                <c:pt idx="755">
                  <c:v>9.2200000000000006</c:v>
                </c:pt>
                <c:pt idx="756">
                  <c:v>17.510000000000002</c:v>
                </c:pt>
                <c:pt idx="757">
                  <c:v>10.37</c:v>
                </c:pt>
                <c:pt idx="758">
                  <c:v>9.74</c:v>
                </c:pt>
                <c:pt idx="759">
                  <c:v>21.18</c:v>
                </c:pt>
                <c:pt idx="760">
                  <c:v>29.22</c:v>
                </c:pt>
                <c:pt idx="761">
                  <c:v>50.16</c:v>
                </c:pt>
                <c:pt idx="762">
                  <c:v>85.41</c:v>
                </c:pt>
                <c:pt idx="763">
                  <c:v>60.29</c:v>
                </c:pt>
                <c:pt idx="764">
                  <c:v>59.06</c:v>
                </c:pt>
                <c:pt idx="765">
                  <c:v>47.82</c:v>
                </c:pt>
                <c:pt idx="766">
                  <c:v>22.52</c:v>
                </c:pt>
                <c:pt idx="767">
                  <c:v>35.54</c:v>
                </c:pt>
                <c:pt idx="768">
                  <c:v>22.33</c:v>
                </c:pt>
                <c:pt idx="769">
                  <c:v>18.93</c:v>
                </c:pt>
                <c:pt idx="770">
                  <c:v>25.91</c:v>
                </c:pt>
                <c:pt idx="771">
                  <c:v>46.28</c:v>
                </c:pt>
                <c:pt idx="772">
                  <c:v>26.64</c:v>
                </c:pt>
                <c:pt idx="773">
                  <c:v>23.2</c:v>
                </c:pt>
                <c:pt idx="774">
                  <c:v>14.34</c:v>
                </c:pt>
                <c:pt idx="775">
                  <c:v>17.84</c:v>
                </c:pt>
                <c:pt idx="776">
                  <c:v>7.02</c:v>
                </c:pt>
                <c:pt idx="777">
                  <c:v>20.27</c:v>
                </c:pt>
                <c:pt idx="778">
                  <c:v>11.52</c:v>
                </c:pt>
                <c:pt idx="779">
                  <c:v>13.43</c:v>
                </c:pt>
                <c:pt idx="780">
                  <c:v>8.1300000000000008</c:v>
                </c:pt>
                <c:pt idx="781">
                  <c:v>11.86</c:v>
                </c:pt>
                <c:pt idx="782">
                  <c:v>38.76</c:v>
                </c:pt>
                <c:pt idx="783">
                  <c:v>14.68</c:v>
                </c:pt>
                <c:pt idx="784">
                  <c:v>46.7</c:v>
                </c:pt>
                <c:pt idx="785">
                  <c:v>20.23</c:v>
                </c:pt>
                <c:pt idx="786">
                  <c:v>22.57</c:v>
                </c:pt>
                <c:pt idx="787">
                  <c:v>13.43</c:v>
                </c:pt>
                <c:pt idx="788">
                  <c:v>14.14</c:v>
                </c:pt>
                <c:pt idx="789">
                  <c:v>23.9</c:v>
                </c:pt>
                <c:pt idx="790">
                  <c:v>27.03</c:v>
                </c:pt>
                <c:pt idx="791">
                  <c:v>22.13</c:v>
                </c:pt>
                <c:pt idx="792">
                  <c:v>23.5</c:v>
                </c:pt>
                <c:pt idx="793">
                  <c:v>13</c:v>
                </c:pt>
                <c:pt idx="794">
                  <c:v>15.9</c:v>
                </c:pt>
                <c:pt idx="795">
                  <c:v>13.79</c:v>
                </c:pt>
                <c:pt idx="796">
                  <c:v>13.14</c:v>
                </c:pt>
                <c:pt idx="797">
                  <c:v>8.9</c:v>
                </c:pt>
                <c:pt idx="798">
                  <c:v>9.86</c:v>
                </c:pt>
                <c:pt idx="799">
                  <c:v>38.24</c:v>
                </c:pt>
                <c:pt idx="800">
                  <c:v>35.159999999999997</c:v>
                </c:pt>
                <c:pt idx="801">
                  <c:v>22.05</c:v>
                </c:pt>
                <c:pt idx="802">
                  <c:v>37.51</c:v>
                </c:pt>
                <c:pt idx="803">
                  <c:v>34.65</c:v>
                </c:pt>
                <c:pt idx="804">
                  <c:v>24.2</c:v>
                </c:pt>
                <c:pt idx="805">
                  <c:v>29.68</c:v>
                </c:pt>
                <c:pt idx="806">
                  <c:v>37.340000000000003</c:v>
                </c:pt>
                <c:pt idx="807">
                  <c:v>19.399999999999999</c:v>
                </c:pt>
                <c:pt idx="808">
                  <c:v>17.239999999999998</c:v>
                </c:pt>
                <c:pt idx="809">
                  <c:v>22.21</c:v>
                </c:pt>
                <c:pt idx="810">
                  <c:v>16.579999999999998</c:v>
                </c:pt>
                <c:pt idx="811">
                  <c:v>8.15</c:v>
                </c:pt>
                <c:pt idx="812">
                  <c:v>11.57</c:v>
                </c:pt>
                <c:pt idx="813">
                  <c:v>11.48</c:v>
                </c:pt>
                <c:pt idx="814">
                  <c:v>9.74</c:v>
                </c:pt>
                <c:pt idx="815">
                  <c:v>7.58</c:v>
                </c:pt>
                <c:pt idx="816">
                  <c:v>7.77</c:v>
                </c:pt>
                <c:pt idx="817">
                  <c:v>9.0500000000000007</c:v>
                </c:pt>
                <c:pt idx="818">
                  <c:v>11.23</c:v>
                </c:pt>
                <c:pt idx="819">
                  <c:v>8.9499999999999993</c:v>
                </c:pt>
                <c:pt idx="820">
                  <c:v>8.86</c:v>
                </c:pt>
                <c:pt idx="821">
                  <c:v>15.84</c:v>
                </c:pt>
                <c:pt idx="822">
                  <c:v>8.02</c:v>
                </c:pt>
                <c:pt idx="823">
                  <c:v>13.16</c:v>
                </c:pt>
                <c:pt idx="824">
                  <c:v>11.5</c:v>
                </c:pt>
                <c:pt idx="825">
                  <c:v>10.57</c:v>
                </c:pt>
                <c:pt idx="826">
                  <c:v>12.32</c:v>
                </c:pt>
                <c:pt idx="827">
                  <c:v>14.39</c:v>
                </c:pt>
                <c:pt idx="828">
                  <c:v>11.47</c:v>
                </c:pt>
                <c:pt idx="829">
                  <c:v>17.329999999999998</c:v>
                </c:pt>
                <c:pt idx="830">
                  <c:v>16.59</c:v>
                </c:pt>
                <c:pt idx="831">
                  <c:v>17.350000000000001</c:v>
                </c:pt>
                <c:pt idx="832">
                  <c:v>18.32</c:v>
                </c:pt>
                <c:pt idx="833">
                  <c:v>23.15</c:v>
                </c:pt>
                <c:pt idx="834">
                  <c:v>15.28</c:v>
                </c:pt>
                <c:pt idx="835">
                  <c:v>15.04</c:v>
                </c:pt>
                <c:pt idx="836">
                  <c:v>43.21</c:v>
                </c:pt>
                <c:pt idx="837">
                  <c:v>41.13</c:v>
                </c:pt>
                <c:pt idx="838">
                  <c:v>27.85</c:v>
                </c:pt>
                <c:pt idx="839">
                  <c:v>56.71</c:v>
                </c:pt>
                <c:pt idx="840">
                  <c:v>24.17</c:v>
                </c:pt>
                <c:pt idx="841">
                  <c:v>16.2</c:v>
                </c:pt>
                <c:pt idx="842">
                  <c:v>11.89</c:v>
                </c:pt>
                <c:pt idx="843">
                  <c:v>19.559999999999999</c:v>
                </c:pt>
                <c:pt idx="844">
                  <c:v>18.100000000000001</c:v>
                </c:pt>
                <c:pt idx="845">
                  <c:v>22.75</c:v>
                </c:pt>
                <c:pt idx="846">
                  <c:v>12.88</c:v>
                </c:pt>
                <c:pt idx="847">
                  <c:v>11.23</c:v>
                </c:pt>
                <c:pt idx="848">
                  <c:v>14.02</c:v>
                </c:pt>
                <c:pt idx="849">
                  <c:v>8.67</c:v>
                </c:pt>
                <c:pt idx="850">
                  <c:v>16.13</c:v>
                </c:pt>
                <c:pt idx="851">
                  <c:v>25.75</c:v>
                </c:pt>
                <c:pt idx="852">
                  <c:v>11.01</c:v>
                </c:pt>
                <c:pt idx="853">
                  <c:v>41.34</c:v>
                </c:pt>
                <c:pt idx="854">
                  <c:v>23.63</c:v>
                </c:pt>
                <c:pt idx="855">
                  <c:v>20.03</c:v>
                </c:pt>
                <c:pt idx="856">
                  <c:v>19.3</c:v>
                </c:pt>
                <c:pt idx="857">
                  <c:v>28.53</c:v>
                </c:pt>
                <c:pt idx="858">
                  <c:v>66.84</c:v>
                </c:pt>
                <c:pt idx="859">
                  <c:v>45.26</c:v>
                </c:pt>
                <c:pt idx="860">
                  <c:v>36.04</c:v>
                </c:pt>
                <c:pt idx="861">
                  <c:v>42.29</c:v>
                </c:pt>
                <c:pt idx="862">
                  <c:v>36.130000000000003</c:v>
                </c:pt>
                <c:pt idx="863">
                  <c:v>41.7</c:v>
                </c:pt>
                <c:pt idx="864">
                  <c:v>35.11</c:v>
                </c:pt>
                <c:pt idx="865">
                  <c:v>33</c:v>
                </c:pt>
                <c:pt idx="866">
                  <c:v>21.63</c:v>
                </c:pt>
                <c:pt idx="867">
                  <c:v>34.22</c:v>
                </c:pt>
                <c:pt idx="868">
                  <c:v>27.98</c:v>
                </c:pt>
                <c:pt idx="869">
                  <c:v>36.950000000000003</c:v>
                </c:pt>
                <c:pt idx="870">
                  <c:v>40.49</c:v>
                </c:pt>
                <c:pt idx="871">
                  <c:v>38.24</c:v>
                </c:pt>
                <c:pt idx="872">
                  <c:v>29.28</c:v>
                </c:pt>
                <c:pt idx="873">
                  <c:v>24.92</c:v>
                </c:pt>
                <c:pt idx="874">
                  <c:v>18.12</c:v>
                </c:pt>
                <c:pt idx="875">
                  <c:v>17.600000000000001</c:v>
                </c:pt>
                <c:pt idx="876">
                  <c:v>25.66</c:v>
                </c:pt>
                <c:pt idx="877">
                  <c:v>14.31</c:v>
                </c:pt>
                <c:pt idx="878">
                  <c:v>15.91</c:v>
                </c:pt>
                <c:pt idx="879">
                  <c:v>27.18</c:v>
                </c:pt>
                <c:pt idx="880">
                  <c:v>19.600000000000001</c:v>
                </c:pt>
                <c:pt idx="881">
                  <c:v>16.059999999999999</c:v>
                </c:pt>
                <c:pt idx="882">
                  <c:v>37.83</c:v>
                </c:pt>
                <c:pt idx="883">
                  <c:v>46.15</c:v>
                </c:pt>
                <c:pt idx="884">
                  <c:v>23.55</c:v>
                </c:pt>
                <c:pt idx="885">
                  <c:v>21.41</c:v>
                </c:pt>
                <c:pt idx="886">
                  <c:v>24.4</c:v>
                </c:pt>
                <c:pt idx="887">
                  <c:v>23.38</c:v>
                </c:pt>
                <c:pt idx="888">
                  <c:v>24.51</c:v>
                </c:pt>
                <c:pt idx="889">
                  <c:v>23.41</c:v>
                </c:pt>
                <c:pt idx="890">
                  <c:v>15.67</c:v>
                </c:pt>
                <c:pt idx="891">
                  <c:v>24.21</c:v>
                </c:pt>
                <c:pt idx="892">
                  <c:v>20.54</c:v>
                </c:pt>
                <c:pt idx="893">
                  <c:v>16.579999999999998</c:v>
                </c:pt>
                <c:pt idx="894">
                  <c:v>27.92</c:v>
                </c:pt>
                <c:pt idx="895">
                  <c:v>20.420000000000002</c:v>
                </c:pt>
                <c:pt idx="896">
                  <c:v>18.97</c:v>
                </c:pt>
                <c:pt idx="897">
                  <c:v>25.95</c:v>
                </c:pt>
                <c:pt idx="898">
                  <c:v>17.93</c:v>
                </c:pt>
                <c:pt idx="899">
                  <c:v>34.49</c:v>
                </c:pt>
                <c:pt idx="900">
                  <c:v>21.4</c:v>
                </c:pt>
                <c:pt idx="901">
                  <c:v>18.03</c:v>
                </c:pt>
                <c:pt idx="902">
                  <c:v>17.34</c:v>
                </c:pt>
                <c:pt idx="903">
                  <c:v>20.04</c:v>
                </c:pt>
                <c:pt idx="904">
                  <c:v>11.92</c:v>
                </c:pt>
                <c:pt idx="905">
                  <c:v>8.19</c:v>
                </c:pt>
                <c:pt idx="906">
                  <c:v>17.8</c:v>
                </c:pt>
                <c:pt idx="907">
                  <c:v>20.2</c:v>
                </c:pt>
                <c:pt idx="908">
                  <c:v>78.290000000000006</c:v>
                </c:pt>
                <c:pt idx="909">
                  <c:v>32.369999999999997</c:v>
                </c:pt>
                <c:pt idx="910">
                  <c:v>21.7</c:v>
                </c:pt>
                <c:pt idx="911">
                  <c:v>15.55</c:v>
                </c:pt>
                <c:pt idx="912">
                  <c:v>15.29</c:v>
                </c:pt>
                <c:pt idx="913">
                  <c:v>18.420000000000002</c:v>
                </c:pt>
                <c:pt idx="914">
                  <c:v>13.47</c:v>
                </c:pt>
                <c:pt idx="915">
                  <c:v>11.82</c:v>
                </c:pt>
                <c:pt idx="916">
                  <c:v>23.21</c:v>
                </c:pt>
                <c:pt idx="917">
                  <c:v>14.7</c:v>
                </c:pt>
                <c:pt idx="918">
                  <c:v>14.24</c:v>
                </c:pt>
                <c:pt idx="919">
                  <c:v>12.49</c:v>
                </c:pt>
                <c:pt idx="920">
                  <c:v>10.93</c:v>
                </c:pt>
                <c:pt idx="921">
                  <c:v>10.83</c:v>
                </c:pt>
                <c:pt idx="922">
                  <c:v>14.36</c:v>
                </c:pt>
                <c:pt idx="923">
                  <c:v>9.86</c:v>
                </c:pt>
                <c:pt idx="924">
                  <c:v>8.3699999999999992</c:v>
                </c:pt>
                <c:pt idx="925">
                  <c:v>11.09</c:v>
                </c:pt>
                <c:pt idx="926">
                  <c:v>7.42</c:v>
                </c:pt>
                <c:pt idx="927">
                  <c:v>5.0599999999999996</c:v>
                </c:pt>
                <c:pt idx="928">
                  <c:v>14.29</c:v>
                </c:pt>
                <c:pt idx="929">
                  <c:v>16.649999999999999</c:v>
                </c:pt>
                <c:pt idx="930">
                  <c:v>17.079999999999998</c:v>
                </c:pt>
                <c:pt idx="931">
                  <c:v>13.88</c:v>
                </c:pt>
                <c:pt idx="932">
                  <c:v>11.32</c:v>
                </c:pt>
                <c:pt idx="933">
                  <c:v>9.07</c:v>
                </c:pt>
                <c:pt idx="934">
                  <c:v>7.01</c:v>
                </c:pt>
                <c:pt idx="935">
                  <c:v>8.17</c:v>
                </c:pt>
                <c:pt idx="936">
                  <c:v>11.24</c:v>
                </c:pt>
                <c:pt idx="937">
                  <c:v>16.02</c:v>
                </c:pt>
                <c:pt idx="938">
                  <c:v>19.260000000000002</c:v>
                </c:pt>
                <c:pt idx="939">
                  <c:v>35.17</c:v>
                </c:pt>
                <c:pt idx="940">
                  <c:v>39.880000000000003</c:v>
                </c:pt>
                <c:pt idx="941">
                  <c:v>18.57</c:v>
                </c:pt>
                <c:pt idx="942">
                  <c:v>18.29</c:v>
                </c:pt>
                <c:pt idx="943">
                  <c:v>13.79</c:v>
                </c:pt>
                <c:pt idx="944">
                  <c:v>11.11</c:v>
                </c:pt>
                <c:pt idx="945">
                  <c:v>12.35</c:v>
                </c:pt>
                <c:pt idx="946">
                  <c:v>14.07</c:v>
                </c:pt>
                <c:pt idx="947">
                  <c:v>9.2799999999999994</c:v>
                </c:pt>
                <c:pt idx="948">
                  <c:v>13.41</c:v>
                </c:pt>
                <c:pt idx="949">
                  <c:v>11.03</c:v>
                </c:pt>
                <c:pt idx="950">
                  <c:v>11.32</c:v>
                </c:pt>
                <c:pt idx="951">
                  <c:v>9.19</c:v>
                </c:pt>
                <c:pt idx="952">
                  <c:v>15.79</c:v>
                </c:pt>
                <c:pt idx="953">
                  <c:v>16.04</c:v>
                </c:pt>
                <c:pt idx="954">
                  <c:v>9.9700000000000006</c:v>
                </c:pt>
                <c:pt idx="955">
                  <c:v>10.64</c:v>
                </c:pt>
                <c:pt idx="956">
                  <c:v>9.74</c:v>
                </c:pt>
                <c:pt idx="957">
                  <c:v>9.35</c:v>
                </c:pt>
                <c:pt idx="958">
                  <c:v>10.84</c:v>
                </c:pt>
                <c:pt idx="959">
                  <c:v>16.93</c:v>
                </c:pt>
                <c:pt idx="960">
                  <c:v>15.89</c:v>
                </c:pt>
                <c:pt idx="961">
                  <c:v>38.979999999999997</c:v>
                </c:pt>
                <c:pt idx="962">
                  <c:v>17.7</c:v>
                </c:pt>
                <c:pt idx="963">
                  <c:v>15.9</c:v>
                </c:pt>
                <c:pt idx="964">
                  <c:v>10.09</c:v>
                </c:pt>
                <c:pt idx="965">
                  <c:v>8.31</c:v>
                </c:pt>
                <c:pt idx="966">
                  <c:v>8.92</c:v>
                </c:pt>
                <c:pt idx="967">
                  <c:v>10.89</c:v>
                </c:pt>
                <c:pt idx="968">
                  <c:v>6.42</c:v>
                </c:pt>
                <c:pt idx="969">
                  <c:v>8.61</c:v>
                </c:pt>
                <c:pt idx="970">
                  <c:v>7.98</c:v>
                </c:pt>
                <c:pt idx="971">
                  <c:v>9.8800000000000008</c:v>
                </c:pt>
                <c:pt idx="972">
                  <c:v>10.42</c:v>
                </c:pt>
                <c:pt idx="973">
                  <c:v>11.36</c:v>
                </c:pt>
                <c:pt idx="974">
                  <c:v>9.34</c:v>
                </c:pt>
                <c:pt idx="975">
                  <c:v>11.35</c:v>
                </c:pt>
                <c:pt idx="976">
                  <c:v>7.76</c:v>
                </c:pt>
                <c:pt idx="977">
                  <c:v>6.96</c:v>
                </c:pt>
                <c:pt idx="978">
                  <c:v>11.36</c:v>
                </c:pt>
                <c:pt idx="979">
                  <c:v>17.829999999999998</c:v>
                </c:pt>
                <c:pt idx="980">
                  <c:v>13.25</c:v>
                </c:pt>
                <c:pt idx="981">
                  <c:v>25.76</c:v>
                </c:pt>
                <c:pt idx="982">
                  <c:v>17.47</c:v>
                </c:pt>
                <c:pt idx="983">
                  <c:v>11.97</c:v>
                </c:pt>
                <c:pt idx="984">
                  <c:v>8.09</c:v>
                </c:pt>
                <c:pt idx="985">
                  <c:v>10.91</c:v>
                </c:pt>
                <c:pt idx="986">
                  <c:v>9.41</c:v>
                </c:pt>
                <c:pt idx="987">
                  <c:v>8.7100000000000009</c:v>
                </c:pt>
                <c:pt idx="988">
                  <c:v>10.52</c:v>
                </c:pt>
                <c:pt idx="989">
                  <c:v>12.27</c:v>
                </c:pt>
                <c:pt idx="990">
                  <c:v>8.42</c:v>
                </c:pt>
                <c:pt idx="991">
                  <c:v>12.49</c:v>
                </c:pt>
                <c:pt idx="992">
                  <c:v>14.37</c:v>
                </c:pt>
                <c:pt idx="993">
                  <c:v>9.5299999999999994</c:v>
                </c:pt>
                <c:pt idx="994">
                  <c:v>20.99</c:v>
                </c:pt>
                <c:pt idx="995">
                  <c:v>24.18</c:v>
                </c:pt>
                <c:pt idx="996">
                  <c:v>22.84</c:v>
                </c:pt>
                <c:pt idx="997">
                  <c:v>16.21</c:v>
                </c:pt>
                <c:pt idx="998">
                  <c:v>9.99</c:v>
                </c:pt>
                <c:pt idx="999">
                  <c:v>15.55</c:v>
                </c:pt>
                <c:pt idx="1000">
                  <c:v>18.28</c:v>
                </c:pt>
                <c:pt idx="1001">
                  <c:v>12.43</c:v>
                </c:pt>
                <c:pt idx="1002">
                  <c:v>9.11</c:v>
                </c:pt>
                <c:pt idx="1003">
                  <c:v>8.8000000000000007</c:v>
                </c:pt>
                <c:pt idx="1004">
                  <c:v>22.24</c:v>
                </c:pt>
                <c:pt idx="1005">
                  <c:v>10.51</c:v>
                </c:pt>
                <c:pt idx="1006">
                  <c:v>9.39</c:v>
                </c:pt>
                <c:pt idx="1007">
                  <c:v>10.61</c:v>
                </c:pt>
                <c:pt idx="1008">
                  <c:v>10.34</c:v>
                </c:pt>
                <c:pt idx="1009">
                  <c:v>7.27</c:v>
                </c:pt>
                <c:pt idx="1010">
                  <c:v>6.42</c:v>
                </c:pt>
                <c:pt idx="1011">
                  <c:v>6.93</c:v>
                </c:pt>
                <c:pt idx="1012">
                  <c:v>20.89</c:v>
                </c:pt>
                <c:pt idx="1013">
                  <c:v>16.3</c:v>
                </c:pt>
                <c:pt idx="1014">
                  <c:v>18.47</c:v>
                </c:pt>
                <c:pt idx="1015">
                  <c:v>27.37</c:v>
                </c:pt>
                <c:pt idx="1016">
                  <c:v>3.17</c:v>
                </c:pt>
                <c:pt idx="1017">
                  <c:v>17.239999999999998</c:v>
                </c:pt>
                <c:pt idx="1018">
                  <c:v>18.559999999999999</c:v>
                </c:pt>
                <c:pt idx="1019">
                  <c:v>13.07</c:v>
                </c:pt>
                <c:pt idx="1020">
                  <c:v>13.83</c:v>
                </c:pt>
                <c:pt idx="1021">
                  <c:v>19.670000000000002</c:v>
                </c:pt>
                <c:pt idx="1022">
                  <c:v>16.78</c:v>
                </c:pt>
                <c:pt idx="1023">
                  <c:v>10.74</c:v>
                </c:pt>
                <c:pt idx="1024">
                  <c:v>8.39</c:v>
                </c:pt>
                <c:pt idx="1025">
                  <c:v>10.050000000000001</c:v>
                </c:pt>
                <c:pt idx="1026">
                  <c:v>20.61</c:v>
                </c:pt>
                <c:pt idx="1027">
                  <c:v>19.329999999999998</c:v>
                </c:pt>
                <c:pt idx="1028">
                  <c:v>10.95</c:v>
                </c:pt>
                <c:pt idx="1029">
                  <c:v>17.64</c:v>
                </c:pt>
                <c:pt idx="1030">
                  <c:v>15.45</c:v>
                </c:pt>
                <c:pt idx="1031">
                  <c:v>7.6</c:v>
                </c:pt>
                <c:pt idx="1032">
                  <c:v>9.99</c:v>
                </c:pt>
                <c:pt idx="1033">
                  <c:v>7.84</c:v>
                </c:pt>
                <c:pt idx="1034">
                  <c:v>9.1999999999999993</c:v>
                </c:pt>
                <c:pt idx="1035">
                  <c:v>6.5</c:v>
                </c:pt>
                <c:pt idx="1036">
                  <c:v>7.77</c:v>
                </c:pt>
                <c:pt idx="1037">
                  <c:v>8.14</c:v>
                </c:pt>
                <c:pt idx="1038">
                  <c:v>6.93</c:v>
                </c:pt>
                <c:pt idx="1039">
                  <c:v>9.9</c:v>
                </c:pt>
                <c:pt idx="1040">
                  <c:v>10.19</c:v>
                </c:pt>
                <c:pt idx="1041">
                  <c:v>22.56</c:v>
                </c:pt>
                <c:pt idx="1042">
                  <c:v>16.63</c:v>
                </c:pt>
                <c:pt idx="1043">
                  <c:v>8.39</c:v>
                </c:pt>
                <c:pt idx="1044">
                  <c:v>9.7200000000000006</c:v>
                </c:pt>
                <c:pt idx="1045">
                  <c:v>6.33</c:v>
                </c:pt>
                <c:pt idx="1046">
                  <c:v>9.81</c:v>
                </c:pt>
                <c:pt idx="1047">
                  <c:v>6.2</c:v>
                </c:pt>
                <c:pt idx="1048">
                  <c:v>8.1300000000000008</c:v>
                </c:pt>
                <c:pt idx="1049">
                  <c:v>11.21</c:v>
                </c:pt>
                <c:pt idx="1050">
                  <c:v>10.69</c:v>
                </c:pt>
                <c:pt idx="1051">
                  <c:v>7.38</c:v>
                </c:pt>
                <c:pt idx="1052">
                  <c:v>8.15</c:v>
                </c:pt>
                <c:pt idx="1053">
                  <c:v>12.43</c:v>
                </c:pt>
                <c:pt idx="1054">
                  <c:v>7.81</c:v>
                </c:pt>
                <c:pt idx="1055">
                  <c:v>5.48</c:v>
                </c:pt>
                <c:pt idx="1056">
                  <c:v>7.05</c:v>
                </c:pt>
                <c:pt idx="1057">
                  <c:v>6.58</c:v>
                </c:pt>
                <c:pt idx="1058">
                  <c:v>10.07</c:v>
                </c:pt>
                <c:pt idx="1059">
                  <c:v>9.57</c:v>
                </c:pt>
                <c:pt idx="1060">
                  <c:v>6.73</c:v>
                </c:pt>
                <c:pt idx="1061">
                  <c:v>7.74</c:v>
                </c:pt>
                <c:pt idx="1062">
                  <c:v>8.11</c:v>
                </c:pt>
                <c:pt idx="1063">
                  <c:v>6.96</c:v>
                </c:pt>
                <c:pt idx="1064">
                  <c:v>5.95</c:v>
                </c:pt>
                <c:pt idx="1065">
                  <c:v>6</c:v>
                </c:pt>
                <c:pt idx="1066">
                  <c:v>6.69</c:v>
                </c:pt>
                <c:pt idx="1067">
                  <c:v>8.17</c:v>
                </c:pt>
                <c:pt idx="1068">
                  <c:v>8.2799999999999994</c:v>
                </c:pt>
                <c:pt idx="1069">
                  <c:v>10.62</c:v>
                </c:pt>
                <c:pt idx="1070">
                  <c:v>6.95</c:v>
                </c:pt>
                <c:pt idx="1071">
                  <c:v>4.58</c:v>
                </c:pt>
                <c:pt idx="1072">
                  <c:v>6.64</c:v>
                </c:pt>
                <c:pt idx="1073">
                  <c:v>14.41</c:v>
                </c:pt>
                <c:pt idx="1074">
                  <c:v>8.25</c:v>
                </c:pt>
                <c:pt idx="1075">
                  <c:v>13.71</c:v>
                </c:pt>
                <c:pt idx="1076">
                  <c:v>12.56</c:v>
                </c:pt>
                <c:pt idx="1077">
                  <c:v>8.35</c:v>
                </c:pt>
                <c:pt idx="1078">
                  <c:v>13.1</c:v>
                </c:pt>
                <c:pt idx="1079">
                  <c:v>7.12</c:v>
                </c:pt>
                <c:pt idx="1080">
                  <c:v>12.3</c:v>
                </c:pt>
                <c:pt idx="1081">
                  <c:v>12.5</c:v>
                </c:pt>
                <c:pt idx="1082">
                  <c:v>21.04</c:v>
                </c:pt>
                <c:pt idx="1083">
                  <c:v>14.09</c:v>
                </c:pt>
                <c:pt idx="1084">
                  <c:v>17.13</c:v>
                </c:pt>
                <c:pt idx="1085">
                  <c:v>64.52</c:v>
                </c:pt>
                <c:pt idx="1086">
                  <c:v>55.75</c:v>
                </c:pt>
                <c:pt idx="1087">
                  <c:v>22.3</c:v>
                </c:pt>
                <c:pt idx="1088">
                  <c:v>25.79</c:v>
                </c:pt>
                <c:pt idx="1089">
                  <c:v>20.64</c:v>
                </c:pt>
                <c:pt idx="1090">
                  <c:v>10.42</c:v>
                </c:pt>
                <c:pt idx="1091">
                  <c:v>11.86</c:v>
                </c:pt>
                <c:pt idx="1092">
                  <c:v>10.28</c:v>
                </c:pt>
                <c:pt idx="1093">
                  <c:v>9.9</c:v>
                </c:pt>
                <c:pt idx="1094">
                  <c:v>29.13</c:v>
                </c:pt>
                <c:pt idx="1095">
                  <c:v>12.21</c:v>
                </c:pt>
                <c:pt idx="1096">
                  <c:v>9.7799999999999994</c:v>
                </c:pt>
                <c:pt idx="1097">
                  <c:v>7.67</c:v>
                </c:pt>
                <c:pt idx="1098">
                  <c:v>7.8</c:v>
                </c:pt>
                <c:pt idx="1099">
                  <c:v>8.26</c:v>
                </c:pt>
                <c:pt idx="1100">
                  <c:v>8.9600000000000009</c:v>
                </c:pt>
                <c:pt idx="1101">
                  <c:v>18.829999999999998</c:v>
                </c:pt>
                <c:pt idx="1102">
                  <c:v>12.91</c:v>
                </c:pt>
                <c:pt idx="1103">
                  <c:v>8.14</c:v>
                </c:pt>
                <c:pt idx="1104">
                  <c:v>16.37</c:v>
                </c:pt>
                <c:pt idx="1105">
                  <c:v>7.77</c:v>
                </c:pt>
                <c:pt idx="1106">
                  <c:v>5.0199999999999996</c:v>
                </c:pt>
                <c:pt idx="1107">
                  <c:v>8.18</c:v>
                </c:pt>
                <c:pt idx="1108">
                  <c:v>10.71</c:v>
                </c:pt>
                <c:pt idx="1109">
                  <c:v>8.92</c:v>
                </c:pt>
                <c:pt idx="1110">
                  <c:v>9.6300000000000008</c:v>
                </c:pt>
                <c:pt idx="1111">
                  <c:v>8.36</c:v>
                </c:pt>
                <c:pt idx="1112">
                  <c:v>8.7899999999999991</c:v>
                </c:pt>
                <c:pt idx="1113">
                  <c:v>10.23</c:v>
                </c:pt>
                <c:pt idx="1114">
                  <c:v>8.42</c:v>
                </c:pt>
                <c:pt idx="1115">
                  <c:v>15.71</c:v>
                </c:pt>
                <c:pt idx="1116">
                  <c:v>48.9</c:v>
                </c:pt>
                <c:pt idx="1117">
                  <c:v>10.119999999999999</c:v>
                </c:pt>
                <c:pt idx="1118">
                  <c:v>11.61</c:v>
                </c:pt>
                <c:pt idx="1119">
                  <c:v>4.7699999999999996</c:v>
                </c:pt>
                <c:pt idx="1120">
                  <c:v>9.75</c:v>
                </c:pt>
                <c:pt idx="1121">
                  <c:v>9.93</c:v>
                </c:pt>
                <c:pt idx="1122">
                  <c:v>10.82</c:v>
                </c:pt>
                <c:pt idx="1123">
                  <c:v>9.17</c:v>
                </c:pt>
                <c:pt idx="1124">
                  <c:v>10.16</c:v>
                </c:pt>
                <c:pt idx="1125">
                  <c:v>9.51</c:v>
                </c:pt>
                <c:pt idx="1126">
                  <c:v>7.06</c:v>
                </c:pt>
                <c:pt idx="1127">
                  <c:v>11.61</c:v>
                </c:pt>
                <c:pt idx="1128">
                  <c:v>12.9</c:v>
                </c:pt>
                <c:pt idx="1129">
                  <c:v>6.78</c:v>
                </c:pt>
                <c:pt idx="1130">
                  <c:v>18.239999999999998</c:v>
                </c:pt>
                <c:pt idx="1131">
                  <c:v>9.75</c:v>
                </c:pt>
                <c:pt idx="1132">
                  <c:v>6.06</c:v>
                </c:pt>
                <c:pt idx="1133">
                  <c:v>11.04</c:v>
                </c:pt>
                <c:pt idx="1134">
                  <c:v>9.49</c:v>
                </c:pt>
                <c:pt idx="1135">
                  <c:v>9.74</c:v>
                </c:pt>
                <c:pt idx="1136">
                  <c:v>6.67</c:v>
                </c:pt>
                <c:pt idx="1137">
                  <c:v>14.25</c:v>
                </c:pt>
                <c:pt idx="1138">
                  <c:v>5.98</c:v>
                </c:pt>
                <c:pt idx="1139">
                  <c:v>8.84</c:v>
                </c:pt>
                <c:pt idx="1140">
                  <c:v>7.62</c:v>
                </c:pt>
                <c:pt idx="1141">
                  <c:v>12.61</c:v>
                </c:pt>
                <c:pt idx="1142">
                  <c:v>12.72</c:v>
                </c:pt>
                <c:pt idx="1143">
                  <c:v>10.25</c:v>
                </c:pt>
                <c:pt idx="1144">
                  <c:v>7.33</c:v>
                </c:pt>
                <c:pt idx="1145">
                  <c:v>7.98</c:v>
                </c:pt>
                <c:pt idx="1146">
                  <c:v>12.41</c:v>
                </c:pt>
                <c:pt idx="1147">
                  <c:v>7.24</c:v>
                </c:pt>
                <c:pt idx="1148">
                  <c:v>9.99</c:v>
                </c:pt>
                <c:pt idx="1149">
                  <c:v>9.75</c:v>
                </c:pt>
                <c:pt idx="1150">
                  <c:v>15.98</c:v>
                </c:pt>
                <c:pt idx="1151">
                  <c:v>11.14</c:v>
                </c:pt>
                <c:pt idx="1152">
                  <c:v>9.15</c:v>
                </c:pt>
                <c:pt idx="1153">
                  <c:v>7.99</c:v>
                </c:pt>
                <c:pt idx="1154">
                  <c:v>9.48</c:v>
                </c:pt>
                <c:pt idx="1155">
                  <c:v>24</c:v>
                </c:pt>
                <c:pt idx="1156">
                  <c:v>25.77</c:v>
                </c:pt>
                <c:pt idx="1157">
                  <c:v>15.42</c:v>
                </c:pt>
                <c:pt idx="1158">
                  <c:v>8.73</c:v>
                </c:pt>
                <c:pt idx="1159">
                  <c:v>11.48</c:v>
                </c:pt>
                <c:pt idx="1160">
                  <c:v>18.2</c:v>
                </c:pt>
                <c:pt idx="1161">
                  <c:v>13</c:v>
                </c:pt>
                <c:pt idx="1162">
                  <c:v>19.829999999999998</c:v>
                </c:pt>
                <c:pt idx="1163">
                  <c:v>18.899999999999999</c:v>
                </c:pt>
                <c:pt idx="1164">
                  <c:v>14.27</c:v>
                </c:pt>
                <c:pt idx="1165">
                  <c:v>8.8000000000000007</c:v>
                </c:pt>
                <c:pt idx="1166">
                  <c:v>9.1999999999999993</c:v>
                </c:pt>
                <c:pt idx="1167">
                  <c:v>7.15</c:v>
                </c:pt>
                <c:pt idx="1168">
                  <c:v>6.45</c:v>
                </c:pt>
                <c:pt idx="1169">
                  <c:v>7.54</c:v>
                </c:pt>
                <c:pt idx="1170">
                  <c:v>7.02</c:v>
                </c:pt>
                <c:pt idx="1171">
                  <c:v>7.06</c:v>
                </c:pt>
                <c:pt idx="1172">
                  <c:v>8.7200000000000006</c:v>
                </c:pt>
                <c:pt idx="1173">
                  <c:v>16.11</c:v>
                </c:pt>
                <c:pt idx="1174">
                  <c:v>8.6999999999999993</c:v>
                </c:pt>
                <c:pt idx="1175">
                  <c:v>7.5</c:v>
                </c:pt>
                <c:pt idx="1176">
                  <c:v>11.73</c:v>
                </c:pt>
                <c:pt idx="1177">
                  <c:v>4.1900000000000004</c:v>
                </c:pt>
                <c:pt idx="1178">
                  <c:v>4.47</c:v>
                </c:pt>
                <c:pt idx="1179">
                  <c:v>6.06</c:v>
                </c:pt>
                <c:pt idx="1180">
                  <c:v>6.64</c:v>
                </c:pt>
                <c:pt idx="1181">
                  <c:v>6.09</c:v>
                </c:pt>
                <c:pt idx="1182">
                  <c:v>5.48</c:v>
                </c:pt>
                <c:pt idx="1183">
                  <c:v>4.87</c:v>
                </c:pt>
                <c:pt idx="1184">
                  <c:v>12.08</c:v>
                </c:pt>
                <c:pt idx="1185">
                  <c:v>9.11</c:v>
                </c:pt>
                <c:pt idx="1186">
                  <c:v>10.7</c:v>
                </c:pt>
                <c:pt idx="1187">
                  <c:v>7.73</c:v>
                </c:pt>
                <c:pt idx="1188">
                  <c:v>16.25</c:v>
                </c:pt>
                <c:pt idx="1189">
                  <c:v>9.4700000000000006</c:v>
                </c:pt>
                <c:pt idx="1190">
                  <c:v>7.32</c:v>
                </c:pt>
                <c:pt idx="1191">
                  <c:v>6.52</c:v>
                </c:pt>
                <c:pt idx="1192">
                  <c:v>8.4600000000000009</c:v>
                </c:pt>
                <c:pt idx="1193">
                  <c:v>12.34</c:v>
                </c:pt>
                <c:pt idx="1194">
                  <c:v>7.91</c:v>
                </c:pt>
                <c:pt idx="1195">
                  <c:v>5.08</c:v>
                </c:pt>
                <c:pt idx="1196">
                  <c:v>6.09</c:v>
                </c:pt>
                <c:pt idx="1197">
                  <c:v>5.35</c:v>
                </c:pt>
                <c:pt idx="1198">
                  <c:v>13.87</c:v>
                </c:pt>
                <c:pt idx="1199">
                  <c:v>20.25</c:v>
                </c:pt>
                <c:pt idx="1200">
                  <c:v>13.97</c:v>
                </c:pt>
                <c:pt idx="1201">
                  <c:v>38.979999999999997</c:v>
                </c:pt>
                <c:pt idx="1202">
                  <c:v>43.53</c:v>
                </c:pt>
                <c:pt idx="1203">
                  <c:v>18.14</c:v>
                </c:pt>
                <c:pt idx="1204">
                  <c:v>13.99</c:v>
                </c:pt>
                <c:pt idx="1205">
                  <c:v>9.98</c:v>
                </c:pt>
                <c:pt idx="1206">
                  <c:v>8.19</c:v>
                </c:pt>
                <c:pt idx="1207">
                  <c:v>6.44</c:v>
                </c:pt>
                <c:pt idx="1208">
                  <c:v>10.32</c:v>
                </c:pt>
                <c:pt idx="1209">
                  <c:v>10.62</c:v>
                </c:pt>
                <c:pt idx="1210">
                  <c:v>6.83</c:v>
                </c:pt>
                <c:pt idx="1211">
                  <c:v>9.16</c:v>
                </c:pt>
                <c:pt idx="1212">
                  <c:v>6.39</c:v>
                </c:pt>
                <c:pt idx="1213">
                  <c:v>9.76</c:v>
                </c:pt>
                <c:pt idx="1214">
                  <c:v>13.19</c:v>
                </c:pt>
                <c:pt idx="1215">
                  <c:v>11.58</c:v>
                </c:pt>
                <c:pt idx="1216">
                  <c:v>7.56</c:v>
                </c:pt>
                <c:pt idx="1217">
                  <c:v>14.92</c:v>
                </c:pt>
                <c:pt idx="1218">
                  <c:v>16.27</c:v>
                </c:pt>
                <c:pt idx="1219">
                  <c:v>19.32</c:v>
                </c:pt>
                <c:pt idx="1220">
                  <c:v>9.57</c:v>
                </c:pt>
                <c:pt idx="1221">
                  <c:v>9.85</c:v>
                </c:pt>
                <c:pt idx="1222">
                  <c:v>8.4499999999999993</c:v>
                </c:pt>
                <c:pt idx="1223">
                  <c:v>6.09</c:v>
                </c:pt>
                <c:pt idx="1224">
                  <c:v>9.27</c:v>
                </c:pt>
                <c:pt idx="1225">
                  <c:v>6.91</c:v>
                </c:pt>
                <c:pt idx="1226">
                  <c:v>9.48</c:v>
                </c:pt>
                <c:pt idx="1227">
                  <c:v>7.36</c:v>
                </c:pt>
                <c:pt idx="1228">
                  <c:v>19.899999999999999</c:v>
                </c:pt>
                <c:pt idx="1229">
                  <c:v>11.44</c:v>
                </c:pt>
                <c:pt idx="1230">
                  <c:v>13.6</c:v>
                </c:pt>
                <c:pt idx="1231">
                  <c:v>8.3800000000000008</c:v>
                </c:pt>
                <c:pt idx="1232">
                  <c:v>12.86</c:v>
                </c:pt>
                <c:pt idx="1233">
                  <c:v>8.09</c:v>
                </c:pt>
                <c:pt idx="1234">
                  <c:v>9.94</c:v>
                </c:pt>
                <c:pt idx="1235">
                  <c:v>9.32</c:v>
                </c:pt>
                <c:pt idx="1236">
                  <c:v>14.41</c:v>
                </c:pt>
                <c:pt idx="1237">
                  <c:v>11.81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2-43F2-8794-041C5F77B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278799"/>
        <c:axId val="638278383"/>
      </c:barChart>
      <c:catAx>
        <c:axId val="63827879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1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278383"/>
        <c:crosses val="autoZero"/>
        <c:auto val="1"/>
        <c:lblAlgn val="ctr"/>
        <c:lblOffset val="100"/>
        <c:noMultiLvlLbl val="0"/>
      </c:catAx>
      <c:valAx>
        <c:axId val="638278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27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45380850831148"/>
          <c:y val="4.822182037371911E-2"/>
          <c:w val="0.72932865813648295"/>
          <c:h val="0.7938621596351088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0066"/>
            </a:solidFill>
            <a:ln>
              <a:noFill/>
            </a:ln>
            <a:effectLst/>
          </c:spPr>
          <c:invertIfNegative val="0"/>
          <c:cat>
            <c:strRef>
              <c:f>Sheet3!$H$1250:$H$1252</c:f>
              <c:strCache>
                <c:ptCount val="3"/>
                <c:pt idx="0">
                  <c:v>FIIs </c:v>
                </c:pt>
                <c:pt idx="1">
                  <c:v>DIIs </c:v>
                </c:pt>
                <c:pt idx="2">
                  <c:v>Public </c:v>
                </c:pt>
              </c:strCache>
            </c:strRef>
          </c:cat>
          <c:val>
            <c:numRef>
              <c:f>Sheet3!$I$1250:$I$1252</c:f>
              <c:numCache>
                <c:formatCode>0.00%</c:formatCode>
                <c:ptCount val="3"/>
                <c:pt idx="0">
                  <c:v>0.37390000000000001</c:v>
                </c:pt>
                <c:pt idx="1">
                  <c:v>0.47410000000000002</c:v>
                </c:pt>
                <c:pt idx="2">
                  <c:v>0.152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E-4E3C-8616-A5E064AC6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7764463"/>
        <c:axId val="697766959"/>
      </c:barChart>
      <c:catAx>
        <c:axId val="69776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66959"/>
        <c:crosses val="autoZero"/>
        <c:auto val="1"/>
        <c:lblAlgn val="ctr"/>
        <c:lblOffset val="100"/>
        <c:noMultiLvlLbl val="0"/>
      </c:catAx>
      <c:valAx>
        <c:axId val="697766959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6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22862</xdr:colOff>
      <xdr:row>2</xdr:row>
      <xdr:rowOff>209777</xdr:rowOff>
    </xdr:from>
    <xdr:to>
      <xdr:col>1</xdr:col>
      <xdr:colOff>1173480</xdr:colOff>
      <xdr:row>3</xdr:row>
      <xdr:rowOff>1005734</xdr:rowOff>
    </xdr:to>
    <xdr:pic>
      <xdr:nvPicPr>
        <xdr:cNvPr id="3" name="Picture 2" descr="File:ITC Limited Logo.svg - Wikimedia Commons"/>
        <xdr:cNvPicPr>
          <a:picLocks noChangeAspect="1" noChangeArrowheads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2" y="621257"/>
          <a:ext cx="1150618" cy="1024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12276</xdr:colOff>
      <xdr:row>7</xdr:row>
      <xdr:rowOff>21167</xdr:rowOff>
    </xdr:from>
    <xdr:to>
      <xdr:col>13</xdr:col>
      <xdr:colOff>10583</xdr:colOff>
      <xdr:row>16</xdr:row>
      <xdr:rowOff>173567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35136</xdr:colOff>
      <xdr:row>19</xdr:row>
      <xdr:rowOff>75777</xdr:rowOff>
    </xdr:from>
    <xdr:to>
      <xdr:col>13</xdr:col>
      <xdr:colOff>21167</xdr:colOff>
      <xdr:row>26</xdr:row>
      <xdr:rowOff>48260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259080</xdr:colOff>
      <xdr:row>28</xdr:row>
      <xdr:rowOff>76200</xdr:rowOff>
    </xdr:from>
    <xdr:to>
      <xdr:col>13</xdr:col>
      <xdr:colOff>160020</xdr:colOff>
      <xdr:row>37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563880</xdr:colOff>
      <xdr:row>7</xdr:row>
      <xdr:rowOff>118110</xdr:rowOff>
    </xdr:from>
    <xdr:to>
      <xdr:col>15</xdr:col>
      <xdr:colOff>160020</xdr:colOff>
      <xdr:row>23</xdr:row>
      <xdr:rowOff>167640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</xdr:colOff>
      <xdr:row>1248</xdr:row>
      <xdr:rowOff>53340</xdr:rowOff>
    </xdr:from>
    <xdr:to>
      <xdr:col>5</xdr:col>
      <xdr:colOff>198120</xdr:colOff>
      <xdr:row>1259</xdr:row>
      <xdr:rowOff>148590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1987/Downloads/ITC%20Historical%20Data%20(1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C Historical Data (1)"/>
    </sheetNames>
    <sheetDataSet>
      <sheetData sheetId="0">
        <row r="2">
          <cell r="A2">
            <v>43357</v>
          </cell>
          <cell r="B2">
            <v>307.14662138716471</v>
          </cell>
        </row>
        <row r="3">
          <cell r="A3">
            <v>43360</v>
          </cell>
          <cell r="B3">
            <v>302.05074452508018</v>
          </cell>
        </row>
        <row r="4">
          <cell r="A4">
            <v>43361</v>
          </cell>
          <cell r="B4">
            <v>303.23756725974238</v>
          </cell>
        </row>
        <row r="5">
          <cell r="A5">
            <v>43362</v>
          </cell>
          <cell r="B5">
            <v>299.68566259384863</v>
          </cell>
        </row>
        <row r="6">
          <cell r="A6">
            <v>43364</v>
          </cell>
          <cell r="B6">
            <v>303.90623750179975</v>
          </cell>
        </row>
        <row r="7">
          <cell r="A7">
            <v>43367</v>
          </cell>
          <cell r="B7">
            <v>298.00870771541992</v>
          </cell>
        </row>
        <row r="8">
          <cell r="A8">
            <v>43368</v>
          </cell>
          <cell r="B8">
            <v>301.11778039749743</v>
          </cell>
        </row>
        <row r="9">
          <cell r="A9">
            <v>43369</v>
          </cell>
          <cell r="B9">
            <v>293.22799864764022</v>
          </cell>
        </row>
        <row r="10">
          <cell r="A10">
            <v>43370</v>
          </cell>
          <cell r="B10">
            <v>293.29853350733248</v>
          </cell>
        </row>
        <row r="11">
          <cell r="A11">
            <v>43371</v>
          </cell>
          <cell r="B11">
            <v>297.70474887817056</v>
          </cell>
        </row>
        <row r="12">
          <cell r="A12">
            <v>43374</v>
          </cell>
          <cell r="B12">
            <v>297.10653634379958</v>
          </cell>
        </row>
        <row r="13">
          <cell r="A13">
            <v>43376</v>
          </cell>
          <cell r="B13">
            <v>295.21889400921657</v>
          </cell>
        </row>
        <row r="14">
          <cell r="A14">
            <v>43377</v>
          </cell>
          <cell r="B14">
            <v>287.17868696022714</v>
          </cell>
        </row>
        <row r="15">
          <cell r="A15">
            <v>43378</v>
          </cell>
          <cell r="B15">
            <v>276.60206616241391</v>
          </cell>
        </row>
        <row r="16">
          <cell r="A16">
            <v>43381</v>
          </cell>
          <cell r="B16">
            <v>273.23251466924563</v>
          </cell>
        </row>
        <row r="17">
          <cell r="A17">
            <v>43382</v>
          </cell>
          <cell r="B17">
            <v>268.54618994467046</v>
          </cell>
        </row>
        <row r="18">
          <cell r="A18">
            <v>43383</v>
          </cell>
          <cell r="B18">
            <v>270.08379497230169</v>
          </cell>
        </row>
        <row r="19">
          <cell r="A19">
            <v>43384</v>
          </cell>
          <cell r="B19">
            <v>265.24800988979001</v>
          </cell>
        </row>
        <row r="20">
          <cell r="A20">
            <v>43385</v>
          </cell>
          <cell r="B20">
            <v>275.09628869916037</v>
          </cell>
        </row>
        <row r="21">
          <cell r="A21">
            <v>43388</v>
          </cell>
          <cell r="B21">
            <v>282.42515733330669</v>
          </cell>
        </row>
        <row r="22">
          <cell r="A22">
            <v>43389</v>
          </cell>
          <cell r="B22">
            <v>282.6485867570662</v>
          </cell>
        </row>
        <row r="23">
          <cell r="A23">
            <v>43390</v>
          </cell>
          <cell r="B23">
            <v>286.41162084280705</v>
          </cell>
        </row>
        <row r="24">
          <cell r="A24">
            <v>43392</v>
          </cell>
          <cell r="B24">
            <v>289.41961094085121</v>
          </cell>
        </row>
        <row r="25">
          <cell r="A25">
            <v>43395</v>
          </cell>
          <cell r="B25">
            <v>288.50952081418683</v>
          </cell>
        </row>
        <row r="26">
          <cell r="A26">
            <v>43396</v>
          </cell>
          <cell r="B26">
            <v>286.02488416492236</v>
          </cell>
        </row>
        <row r="27">
          <cell r="A27">
            <v>43397</v>
          </cell>
          <cell r="B27">
            <v>287.7324483206524</v>
          </cell>
        </row>
        <row r="28">
          <cell r="A28">
            <v>43398</v>
          </cell>
          <cell r="B28">
            <v>287.55201286409005</v>
          </cell>
        </row>
        <row r="29">
          <cell r="A29">
            <v>43399</v>
          </cell>
          <cell r="B29">
            <v>280.96490289256815</v>
          </cell>
        </row>
        <row r="30">
          <cell r="A30">
            <v>43402</v>
          </cell>
          <cell r="B30">
            <v>283.47363695176352</v>
          </cell>
        </row>
        <row r="31">
          <cell r="A31">
            <v>43403</v>
          </cell>
          <cell r="B31">
            <v>278.99463914226277</v>
          </cell>
        </row>
        <row r="32">
          <cell r="A32">
            <v>43404</v>
          </cell>
          <cell r="B32">
            <v>280.08851637082881</v>
          </cell>
        </row>
        <row r="33">
          <cell r="A33">
            <v>43405</v>
          </cell>
          <cell r="B33">
            <v>277.4266329567638</v>
          </cell>
        </row>
        <row r="34">
          <cell r="A34">
            <v>43406</v>
          </cell>
          <cell r="B34">
            <v>283.190246857913</v>
          </cell>
        </row>
        <row r="35">
          <cell r="A35">
            <v>43409</v>
          </cell>
          <cell r="B35">
            <v>279.6360730534239</v>
          </cell>
        </row>
        <row r="36">
          <cell r="A36">
            <v>43410</v>
          </cell>
          <cell r="B36">
            <v>277.32274046471815</v>
          </cell>
        </row>
        <row r="37">
          <cell r="A37">
            <v>43411</v>
          </cell>
          <cell r="B37">
            <v>280.02227779449834</v>
          </cell>
        </row>
        <row r="38">
          <cell r="A38">
            <v>43413</v>
          </cell>
          <cell r="B38">
            <v>277.27772777277727</v>
          </cell>
        </row>
        <row r="39">
          <cell r="A39">
            <v>43416</v>
          </cell>
          <cell r="B39">
            <v>273.88368769358635</v>
          </cell>
        </row>
        <row r="40">
          <cell r="A40">
            <v>43417</v>
          </cell>
          <cell r="B40">
            <v>276.81954984951653</v>
          </cell>
        </row>
        <row r="41">
          <cell r="A41">
            <v>43418</v>
          </cell>
          <cell r="B41">
            <v>276.45387035418491</v>
          </cell>
        </row>
        <row r="42">
          <cell r="A42">
            <v>43419</v>
          </cell>
          <cell r="B42">
            <v>274.51949088385277</v>
          </cell>
        </row>
        <row r="43">
          <cell r="A43">
            <v>43420</v>
          </cell>
          <cell r="B43">
            <v>276.52926030547707</v>
          </cell>
        </row>
        <row r="44">
          <cell r="A44">
            <v>43423</v>
          </cell>
          <cell r="B44">
            <v>284.41837192725689</v>
          </cell>
        </row>
        <row r="45">
          <cell r="A45">
            <v>43424</v>
          </cell>
          <cell r="B45">
            <v>283.85652870016014</v>
          </cell>
        </row>
        <row r="46">
          <cell r="A46">
            <v>43425</v>
          </cell>
          <cell r="B46">
            <v>281.7708510429772</v>
          </cell>
        </row>
        <row r="47">
          <cell r="A47">
            <v>43426</v>
          </cell>
          <cell r="B47">
            <v>280.5123425430719</v>
          </cell>
        </row>
        <row r="48">
          <cell r="A48">
            <v>43430</v>
          </cell>
          <cell r="B48">
            <v>285.59745006918723</v>
          </cell>
        </row>
        <row r="49">
          <cell r="A49">
            <v>43431</v>
          </cell>
          <cell r="B49">
            <v>284.85797602332866</v>
          </cell>
        </row>
        <row r="50">
          <cell r="A50">
            <v>43432</v>
          </cell>
          <cell r="B50">
            <v>282.22624704097478</v>
          </cell>
        </row>
        <row r="51">
          <cell r="A51">
            <v>43433</v>
          </cell>
          <cell r="B51">
            <v>287.4953758785831</v>
          </cell>
        </row>
        <row r="52">
          <cell r="A52">
            <v>43434</v>
          </cell>
          <cell r="B52">
            <v>285.81743486352667</v>
          </cell>
        </row>
        <row r="53">
          <cell r="A53">
            <v>43437</v>
          </cell>
          <cell r="B53">
            <v>282.97829782978295</v>
          </cell>
        </row>
        <row r="54">
          <cell r="A54">
            <v>43438</v>
          </cell>
          <cell r="B54">
            <v>281.86099257871058</v>
          </cell>
        </row>
        <row r="55">
          <cell r="A55">
            <v>43439</v>
          </cell>
          <cell r="B55">
            <v>275.41362054634624</v>
          </cell>
        </row>
        <row r="56">
          <cell r="A56">
            <v>43440</v>
          </cell>
          <cell r="B56">
            <v>273.07293812680268</v>
          </cell>
        </row>
        <row r="57">
          <cell r="A57">
            <v>43441</v>
          </cell>
          <cell r="B57">
            <v>274.03986052516058</v>
          </cell>
        </row>
        <row r="58">
          <cell r="A58">
            <v>43444</v>
          </cell>
          <cell r="B58">
            <v>270.48543359180053</v>
          </cell>
        </row>
        <row r="59">
          <cell r="A59">
            <v>43445</v>
          </cell>
          <cell r="B59">
            <v>274.65687887001741</v>
          </cell>
        </row>
        <row r="60">
          <cell r="A60">
            <v>43446</v>
          </cell>
          <cell r="B60">
            <v>276.03647421276361</v>
          </cell>
        </row>
        <row r="61">
          <cell r="A61">
            <v>43447</v>
          </cell>
          <cell r="B61">
            <v>275.30743330069913</v>
          </cell>
        </row>
        <row r="62">
          <cell r="A62">
            <v>43448</v>
          </cell>
          <cell r="B62">
            <v>275.74558807059088</v>
          </cell>
        </row>
        <row r="63">
          <cell r="A63">
            <v>43451</v>
          </cell>
          <cell r="B63">
            <v>279.80830856202431</v>
          </cell>
        </row>
        <row r="64">
          <cell r="A64">
            <v>43452</v>
          </cell>
          <cell r="B64">
            <v>278.16696818505926</v>
          </cell>
        </row>
        <row r="65">
          <cell r="A65">
            <v>43453</v>
          </cell>
          <cell r="B65">
            <v>283.39587138856479</v>
          </cell>
        </row>
        <row r="66">
          <cell r="A66">
            <v>43454</v>
          </cell>
          <cell r="B66">
            <v>282.65791442160378</v>
          </cell>
        </row>
        <row r="67">
          <cell r="A67">
            <v>43455</v>
          </cell>
          <cell r="B67">
            <v>276.8078528412438</v>
          </cell>
        </row>
        <row r="68">
          <cell r="A68">
            <v>43458</v>
          </cell>
          <cell r="B68">
            <v>276.00745220120945</v>
          </cell>
        </row>
        <row r="69">
          <cell r="A69">
            <v>43460</v>
          </cell>
          <cell r="B69">
            <v>276.64336055934655</v>
          </cell>
        </row>
        <row r="70">
          <cell r="A70">
            <v>43461</v>
          </cell>
          <cell r="B70">
            <v>280.708455148638</v>
          </cell>
        </row>
        <row r="71">
          <cell r="A71">
            <v>43462</v>
          </cell>
          <cell r="B71">
            <v>282.23504154279823</v>
          </cell>
        </row>
        <row r="72">
          <cell r="A72">
            <v>43465</v>
          </cell>
          <cell r="B72">
            <v>281.65591477421026</v>
          </cell>
        </row>
        <row r="73">
          <cell r="A73">
            <v>43466</v>
          </cell>
          <cell r="B73">
            <v>282.68954048700198</v>
          </cell>
        </row>
        <row r="74">
          <cell r="A74">
            <v>43467</v>
          </cell>
          <cell r="B74">
            <v>280.62076593667933</v>
          </cell>
        </row>
        <row r="75">
          <cell r="A75">
            <v>43468</v>
          </cell>
          <cell r="B75">
            <v>278.86728977196589</v>
          </cell>
        </row>
        <row r="76">
          <cell r="A76">
            <v>43469</v>
          </cell>
          <cell r="B76">
            <v>280.92893033022523</v>
          </cell>
        </row>
        <row r="77">
          <cell r="A77">
            <v>43472</v>
          </cell>
          <cell r="B77">
            <v>281.64295892602684</v>
          </cell>
        </row>
        <row r="78">
          <cell r="A78">
            <v>43473</v>
          </cell>
          <cell r="B78">
            <v>284.2238514056707</v>
          </cell>
        </row>
        <row r="79">
          <cell r="A79">
            <v>43474</v>
          </cell>
          <cell r="B79">
            <v>290.33728714597646</v>
          </cell>
        </row>
        <row r="80">
          <cell r="A80">
            <v>43475</v>
          </cell>
          <cell r="B80">
            <v>289.60810902705276</v>
          </cell>
        </row>
        <row r="81">
          <cell r="A81">
            <v>43476</v>
          </cell>
          <cell r="B81">
            <v>295.29123704382829</v>
          </cell>
        </row>
        <row r="82">
          <cell r="A82">
            <v>43479</v>
          </cell>
          <cell r="B82">
            <v>294.31059518142655</v>
          </cell>
        </row>
        <row r="83">
          <cell r="A83">
            <v>43480</v>
          </cell>
          <cell r="B83">
            <v>296.52746391274263</v>
          </cell>
        </row>
        <row r="84">
          <cell r="A84">
            <v>43481</v>
          </cell>
          <cell r="B84">
            <v>294.07470227499113</v>
          </cell>
        </row>
        <row r="85">
          <cell r="A85">
            <v>43482</v>
          </cell>
          <cell r="B85">
            <v>293.95088185264552</v>
          </cell>
        </row>
        <row r="86">
          <cell r="A86">
            <v>43483</v>
          </cell>
          <cell r="B86">
            <v>291.47477535590525</v>
          </cell>
        </row>
        <row r="87">
          <cell r="A87">
            <v>43486</v>
          </cell>
          <cell r="B87">
            <v>289.91536551437224</v>
          </cell>
        </row>
        <row r="88">
          <cell r="A88">
            <v>43487</v>
          </cell>
          <cell r="B88">
            <v>289.75144875724379</v>
          </cell>
        </row>
        <row r="89">
          <cell r="A89">
            <v>43488</v>
          </cell>
          <cell r="B89">
            <v>277.41929029482679</v>
          </cell>
        </row>
        <row r="90">
          <cell r="A90">
            <v>43489</v>
          </cell>
          <cell r="B90">
            <v>278.88382473816517</v>
          </cell>
        </row>
        <row r="91">
          <cell r="A91">
            <v>43490</v>
          </cell>
          <cell r="B91">
            <v>279.19692883378281</v>
          </cell>
        </row>
        <row r="92">
          <cell r="A92">
            <v>43493</v>
          </cell>
          <cell r="B92">
            <v>274.79369219705933</v>
          </cell>
        </row>
        <row r="93">
          <cell r="A93">
            <v>43494</v>
          </cell>
          <cell r="B93">
            <v>278.41241432406622</v>
          </cell>
        </row>
        <row r="94">
          <cell r="A94">
            <v>43495</v>
          </cell>
          <cell r="B94">
            <v>275.52920609584618</v>
          </cell>
        </row>
        <row r="95">
          <cell r="A95">
            <v>43496</v>
          </cell>
          <cell r="B95">
            <v>278.61823752092261</v>
          </cell>
        </row>
        <row r="96">
          <cell r="A96">
            <v>43497</v>
          </cell>
          <cell r="B96">
            <v>280.82781460264641</v>
          </cell>
        </row>
        <row r="97">
          <cell r="A97">
            <v>43500</v>
          </cell>
          <cell r="B97">
            <v>277.13713637627444</v>
          </cell>
        </row>
        <row r="98">
          <cell r="A98">
            <v>43501</v>
          </cell>
          <cell r="B98">
            <v>274.17906298067595</v>
          </cell>
        </row>
        <row r="99">
          <cell r="A99">
            <v>43502</v>
          </cell>
          <cell r="B99">
            <v>277.6641813206096</v>
          </cell>
        </row>
        <row r="100">
          <cell r="A100">
            <v>43503</v>
          </cell>
          <cell r="B100">
            <v>280.27365427649801</v>
          </cell>
        </row>
        <row r="101">
          <cell r="A101">
            <v>43504</v>
          </cell>
          <cell r="B101">
            <v>275.54711855727328</v>
          </cell>
        </row>
        <row r="102">
          <cell r="A102">
            <v>43507</v>
          </cell>
          <cell r="B102">
            <v>277.08392913211037</v>
          </cell>
        </row>
        <row r="103">
          <cell r="A103">
            <v>43508</v>
          </cell>
          <cell r="B103">
            <v>275.31789566321811</v>
          </cell>
        </row>
        <row r="104">
          <cell r="A104">
            <v>43509</v>
          </cell>
          <cell r="B104">
            <v>276.83449726815297</v>
          </cell>
        </row>
        <row r="105">
          <cell r="A105">
            <v>43510</v>
          </cell>
          <cell r="B105">
            <v>277.88944020127235</v>
          </cell>
        </row>
        <row r="106">
          <cell r="A106">
            <v>43511</v>
          </cell>
          <cell r="B106">
            <v>280.07787384796603</v>
          </cell>
        </row>
        <row r="107">
          <cell r="A107">
            <v>43514</v>
          </cell>
          <cell r="B107">
            <v>274.75302733427549</v>
          </cell>
        </row>
        <row r="108">
          <cell r="A108">
            <v>43515</v>
          </cell>
          <cell r="B108">
            <v>275.88786093411892</v>
          </cell>
        </row>
        <row r="109">
          <cell r="A109">
            <v>43516</v>
          </cell>
          <cell r="B109">
            <v>275.85055170110343</v>
          </cell>
        </row>
        <row r="110">
          <cell r="A110">
            <v>43517</v>
          </cell>
          <cell r="B110">
            <v>275.05797668132374</v>
          </cell>
        </row>
        <row r="111">
          <cell r="A111">
            <v>43518</v>
          </cell>
          <cell r="B111">
            <v>274.30740629997013</v>
          </cell>
        </row>
        <row r="112">
          <cell r="A112">
            <v>43521</v>
          </cell>
          <cell r="B112">
            <v>276.67592919416012</v>
          </cell>
        </row>
        <row r="113">
          <cell r="A113">
            <v>43522</v>
          </cell>
          <cell r="B113">
            <v>275.51184700942139</v>
          </cell>
        </row>
        <row r="114">
          <cell r="A114">
            <v>43523</v>
          </cell>
          <cell r="B114">
            <v>275.10412656189845</v>
          </cell>
        </row>
        <row r="115">
          <cell r="A115">
            <v>43524</v>
          </cell>
          <cell r="B115">
            <v>276.04033858814944</v>
          </cell>
        </row>
        <row r="116">
          <cell r="A116">
            <v>43525</v>
          </cell>
          <cell r="B116">
            <v>278.17830209243675</v>
          </cell>
        </row>
        <row r="117">
          <cell r="A117">
            <v>43529</v>
          </cell>
          <cell r="B117">
            <v>282.50592907506427</v>
          </cell>
        </row>
        <row r="118">
          <cell r="A118">
            <v>43530</v>
          </cell>
          <cell r="B118">
            <v>285.71771389832946</v>
          </cell>
        </row>
        <row r="119">
          <cell r="A119">
            <v>43531</v>
          </cell>
          <cell r="B119">
            <v>290.05591150145182</v>
          </cell>
        </row>
        <row r="120">
          <cell r="A120">
            <v>43532</v>
          </cell>
          <cell r="B120">
            <v>291.9810212336198</v>
          </cell>
        </row>
        <row r="121">
          <cell r="A121">
            <v>43535</v>
          </cell>
          <cell r="B121">
            <v>292.94033296901205</v>
          </cell>
        </row>
        <row r="122">
          <cell r="A122">
            <v>43536</v>
          </cell>
          <cell r="B122">
            <v>294.48439232720665</v>
          </cell>
        </row>
        <row r="123">
          <cell r="A123">
            <v>43537</v>
          </cell>
          <cell r="B123">
            <v>294.89587145779956</v>
          </cell>
        </row>
        <row r="124">
          <cell r="A124">
            <v>43538</v>
          </cell>
          <cell r="B124">
            <v>295.49409011819768</v>
          </cell>
        </row>
        <row r="125">
          <cell r="A125">
            <v>43539</v>
          </cell>
          <cell r="B125">
            <v>290.84624455288395</v>
          </cell>
        </row>
        <row r="126">
          <cell r="A126">
            <v>43542</v>
          </cell>
          <cell r="B126">
            <v>293.72033424624118</v>
          </cell>
        </row>
        <row r="127">
          <cell r="A127">
            <v>43543</v>
          </cell>
          <cell r="B127">
            <v>299.3919179679142</v>
          </cell>
        </row>
        <row r="128">
          <cell r="A128">
            <v>43544</v>
          </cell>
          <cell r="B128">
            <v>298.90538029684529</v>
          </cell>
        </row>
        <row r="129">
          <cell r="A129">
            <v>43546</v>
          </cell>
          <cell r="B129">
            <v>298.20685875775143</v>
          </cell>
        </row>
        <row r="130">
          <cell r="A130">
            <v>43549</v>
          </cell>
          <cell r="B130">
            <v>295.08127861553328</v>
          </cell>
        </row>
        <row r="131">
          <cell r="A131">
            <v>43550</v>
          </cell>
          <cell r="B131">
            <v>293.41643132015389</v>
          </cell>
        </row>
        <row r="132">
          <cell r="A132">
            <v>43551</v>
          </cell>
          <cell r="B132">
            <v>293.1029310293103</v>
          </cell>
        </row>
        <row r="133">
          <cell r="A133">
            <v>43552</v>
          </cell>
          <cell r="B133">
            <v>299.92951656360754</v>
          </cell>
        </row>
        <row r="134">
          <cell r="A134">
            <v>43553</v>
          </cell>
          <cell r="B134">
            <v>297.27734951615548</v>
          </cell>
        </row>
        <row r="135">
          <cell r="A135">
            <v>43556</v>
          </cell>
          <cell r="B135">
            <v>297.25</v>
          </cell>
        </row>
        <row r="136">
          <cell r="A136">
            <v>43557</v>
          </cell>
          <cell r="B136">
            <v>297.8934463441804</v>
          </cell>
        </row>
        <row r="137">
          <cell r="A137">
            <v>43558</v>
          </cell>
          <cell r="B137">
            <v>296.16747388095894</v>
          </cell>
        </row>
        <row r="138">
          <cell r="A138">
            <v>43559</v>
          </cell>
          <cell r="B138">
            <v>294.81356142382549</v>
          </cell>
        </row>
        <row r="139">
          <cell r="A139">
            <v>43560</v>
          </cell>
          <cell r="B139">
            <v>294.55235641885139</v>
          </cell>
        </row>
        <row r="140">
          <cell r="A140">
            <v>43563</v>
          </cell>
          <cell r="B140">
            <v>292.76785883938919</v>
          </cell>
        </row>
        <row r="141">
          <cell r="A141">
            <v>43564</v>
          </cell>
          <cell r="B141">
            <v>296.26415203760342</v>
          </cell>
        </row>
        <row r="142">
          <cell r="A142">
            <v>43565</v>
          </cell>
          <cell r="B142">
            <v>294.71591465939161</v>
          </cell>
        </row>
        <row r="143">
          <cell r="A143">
            <v>43566</v>
          </cell>
          <cell r="B143">
            <v>296.38280979703177</v>
          </cell>
        </row>
        <row r="144">
          <cell r="A144">
            <v>43567</v>
          </cell>
          <cell r="B144">
            <v>305.65371907849027</v>
          </cell>
        </row>
        <row r="145">
          <cell r="A145">
            <v>43570</v>
          </cell>
          <cell r="B145">
            <v>305.50244401955217</v>
          </cell>
        </row>
        <row r="146">
          <cell r="A146">
            <v>43571</v>
          </cell>
          <cell r="B146">
            <v>307.1827977633252</v>
          </cell>
        </row>
        <row r="147">
          <cell r="A147">
            <v>43573</v>
          </cell>
          <cell r="B147">
            <v>304.42770292096577</v>
          </cell>
        </row>
        <row r="148">
          <cell r="A148">
            <v>43577</v>
          </cell>
          <cell r="B148">
            <v>301.82565518069038</v>
          </cell>
        </row>
        <row r="149">
          <cell r="A149">
            <v>43578</v>
          </cell>
          <cell r="B149">
            <v>303.3839206522054</v>
          </cell>
        </row>
        <row r="150">
          <cell r="A150">
            <v>43579</v>
          </cell>
          <cell r="B150">
            <v>306.41905167578074</v>
          </cell>
        </row>
        <row r="151">
          <cell r="A151">
            <v>43580</v>
          </cell>
          <cell r="B151">
            <v>304.17281296097207</v>
          </cell>
        </row>
        <row r="152">
          <cell r="A152">
            <v>43581</v>
          </cell>
          <cell r="B152">
            <v>304.5460409014683</v>
          </cell>
        </row>
        <row r="153">
          <cell r="A153">
            <v>43585</v>
          </cell>
          <cell r="B153">
            <v>301.38164507273268</v>
          </cell>
        </row>
        <row r="154">
          <cell r="A154">
            <v>43587</v>
          </cell>
          <cell r="B154">
            <v>304.96309946496473</v>
          </cell>
        </row>
        <row r="155">
          <cell r="A155">
            <v>43588</v>
          </cell>
          <cell r="B155">
            <v>304.257606440161</v>
          </cell>
        </row>
        <row r="156">
          <cell r="A156">
            <v>43591</v>
          </cell>
          <cell r="B156">
            <v>306.97237248647622</v>
          </cell>
        </row>
        <row r="157">
          <cell r="A157">
            <v>43592</v>
          </cell>
          <cell r="B157">
            <v>301.95012372053759</v>
          </cell>
        </row>
        <row r="158">
          <cell r="A158">
            <v>43593</v>
          </cell>
          <cell r="B158">
            <v>300.66232715541332</v>
          </cell>
        </row>
        <row r="159">
          <cell r="A159">
            <v>43594</v>
          </cell>
          <cell r="B159">
            <v>299.85809616859655</v>
          </cell>
        </row>
        <row r="160">
          <cell r="A160">
            <v>43595</v>
          </cell>
          <cell r="B160">
            <v>297.77084395907713</v>
          </cell>
        </row>
        <row r="161">
          <cell r="A161">
            <v>43598</v>
          </cell>
          <cell r="B161">
            <v>289.38218454040947</v>
          </cell>
        </row>
        <row r="162">
          <cell r="A162">
            <v>43599</v>
          </cell>
          <cell r="B162">
            <v>294.29849776289149</v>
          </cell>
        </row>
        <row r="163">
          <cell r="A163">
            <v>43600</v>
          </cell>
          <cell r="B163">
            <v>297.02267391399994</v>
          </cell>
        </row>
        <row r="164">
          <cell r="A164">
            <v>43601</v>
          </cell>
          <cell r="B164">
            <v>294.77269749770733</v>
          </cell>
        </row>
        <row r="165">
          <cell r="A165">
            <v>43602</v>
          </cell>
          <cell r="B165">
            <v>301.33189899082805</v>
          </cell>
        </row>
        <row r="166">
          <cell r="A166">
            <v>43605</v>
          </cell>
          <cell r="B166">
            <v>306.94290861899685</v>
          </cell>
        </row>
        <row r="167">
          <cell r="A167">
            <v>43606</v>
          </cell>
          <cell r="B167">
            <v>305.91101279646068</v>
          </cell>
        </row>
        <row r="168">
          <cell r="A168">
            <v>43607</v>
          </cell>
          <cell r="B168">
            <v>299.81026186263438</v>
          </cell>
        </row>
        <row r="169">
          <cell r="A169">
            <v>43608</v>
          </cell>
          <cell r="B169">
            <v>288.31099973489791</v>
          </cell>
        </row>
        <row r="170">
          <cell r="A170">
            <v>43609</v>
          </cell>
          <cell r="B170">
            <v>290.42734666695998</v>
          </cell>
        </row>
        <row r="171">
          <cell r="A171">
            <v>43612</v>
          </cell>
          <cell r="B171">
            <v>290.84592815700586</v>
          </cell>
        </row>
        <row r="172">
          <cell r="A172">
            <v>43613</v>
          </cell>
          <cell r="B172">
            <v>288.919357596959</v>
          </cell>
        </row>
        <row r="173">
          <cell r="A173">
            <v>43614</v>
          </cell>
          <cell r="B173">
            <v>288.10806702587678</v>
          </cell>
        </row>
        <row r="174">
          <cell r="A174">
            <v>43615</v>
          </cell>
          <cell r="B174">
            <v>288.64451575420065</v>
          </cell>
        </row>
        <row r="175">
          <cell r="A175">
            <v>43616</v>
          </cell>
          <cell r="B175">
            <v>278.64752663432199</v>
          </cell>
        </row>
        <row r="176">
          <cell r="A176">
            <v>43619</v>
          </cell>
          <cell r="B176">
            <v>278.55</v>
          </cell>
        </row>
        <row r="177">
          <cell r="A177">
            <v>43620</v>
          </cell>
          <cell r="B177">
            <v>279.24301892452689</v>
          </cell>
        </row>
        <row r="178">
          <cell r="A178">
            <v>43622</v>
          </cell>
          <cell r="B178">
            <v>275.78447305913238</v>
          </cell>
        </row>
        <row r="179">
          <cell r="A179">
            <v>43623</v>
          </cell>
          <cell r="B179">
            <v>275.2549545891826</v>
          </cell>
        </row>
        <row r="180">
          <cell r="A180">
            <v>43626</v>
          </cell>
          <cell r="B180">
            <v>279.35781696963755</v>
          </cell>
        </row>
        <row r="181">
          <cell r="A181">
            <v>43627</v>
          </cell>
          <cell r="B181">
            <v>279.84552247164049</v>
          </cell>
        </row>
        <row r="182">
          <cell r="A182">
            <v>43628</v>
          </cell>
          <cell r="B182">
            <v>279.94888020447922</v>
          </cell>
        </row>
        <row r="183">
          <cell r="A183">
            <v>43629</v>
          </cell>
          <cell r="B183">
            <v>280.59354634843396</v>
          </cell>
        </row>
        <row r="184">
          <cell r="A184">
            <v>43630</v>
          </cell>
          <cell r="B184">
            <v>278.07530485274162</v>
          </cell>
        </row>
        <row r="185">
          <cell r="A185">
            <v>43633</v>
          </cell>
          <cell r="B185">
            <v>275.03025332786609</v>
          </cell>
        </row>
        <row r="186">
          <cell r="A186">
            <v>43634</v>
          </cell>
          <cell r="B186">
            <v>275.09889960440165</v>
          </cell>
        </row>
        <row r="187">
          <cell r="A187">
            <v>43635</v>
          </cell>
          <cell r="B187">
            <v>277.1789344009855</v>
          </cell>
        </row>
        <row r="188">
          <cell r="A188">
            <v>43636</v>
          </cell>
          <cell r="B188">
            <v>277.00193901357306</v>
          </cell>
        </row>
        <row r="189">
          <cell r="A189">
            <v>43637</v>
          </cell>
          <cell r="B189">
            <v>274.2771534381904</v>
          </cell>
        </row>
        <row r="190">
          <cell r="A190">
            <v>43640</v>
          </cell>
          <cell r="B190">
            <v>276.22983522202878</v>
          </cell>
        </row>
        <row r="191">
          <cell r="A191">
            <v>43641</v>
          </cell>
          <cell r="B191">
            <v>278.4774433270905</v>
          </cell>
        </row>
        <row r="192">
          <cell r="A192">
            <v>43642</v>
          </cell>
          <cell r="B192">
            <v>277.41081902194185</v>
          </cell>
        </row>
        <row r="193">
          <cell r="A193">
            <v>43643</v>
          </cell>
          <cell r="B193">
            <v>273.53856893822029</v>
          </cell>
        </row>
        <row r="194">
          <cell r="A194">
            <v>43644</v>
          </cell>
          <cell r="B194">
            <v>273.84643999628008</v>
          </cell>
        </row>
        <row r="195">
          <cell r="A195">
            <v>43647</v>
          </cell>
          <cell r="B195">
            <v>274.93900243990237</v>
          </cell>
        </row>
        <row r="196">
          <cell r="A196">
            <v>43648</v>
          </cell>
          <cell r="B196">
            <v>273.86095443817754</v>
          </cell>
        </row>
        <row r="197">
          <cell r="A197">
            <v>43649</v>
          </cell>
          <cell r="B197">
            <v>276.67122619247596</v>
          </cell>
        </row>
        <row r="198">
          <cell r="A198">
            <v>43650</v>
          </cell>
          <cell r="B198">
            <v>277.64056022095247</v>
          </cell>
        </row>
        <row r="199">
          <cell r="A199">
            <v>43651</v>
          </cell>
          <cell r="B199">
            <v>279.4318369305995</v>
          </cell>
        </row>
        <row r="200">
          <cell r="A200">
            <v>43654</v>
          </cell>
          <cell r="B200">
            <v>277.46997783840436</v>
          </cell>
        </row>
        <row r="201">
          <cell r="A201">
            <v>43655</v>
          </cell>
          <cell r="B201">
            <v>273.14288343269897</v>
          </cell>
        </row>
        <row r="202">
          <cell r="A202">
            <v>43656</v>
          </cell>
          <cell r="B202">
            <v>273.14945370109257</v>
          </cell>
        </row>
        <row r="203">
          <cell r="A203">
            <v>43657</v>
          </cell>
          <cell r="B203">
            <v>275.62464253288698</v>
          </cell>
        </row>
        <row r="204">
          <cell r="A204">
            <v>43658</v>
          </cell>
          <cell r="B204">
            <v>275.05605123312711</v>
          </cell>
        </row>
        <row r="205">
          <cell r="A205">
            <v>43661</v>
          </cell>
          <cell r="B205">
            <v>270.99037756625734</v>
          </cell>
        </row>
        <row r="206">
          <cell r="A206">
            <v>43662</v>
          </cell>
          <cell r="B206">
            <v>271.93993822228572</v>
          </cell>
        </row>
        <row r="207">
          <cell r="A207">
            <v>43663</v>
          </cell>
          <cell r="B207">
            <v>272.89044883429079</v>
          </cell>
        </row>
        <row r="208">
          <cell r="A208">
            <v>43664</v>
          </cell>
          <cell r="B208">
            <v>272.99890800436799</v>
          </cell>
        </row>
        <row r="209">
          <cell r="A209">
            <v>43665</v>
          </cell>
          <cell r="B209">
            <v>268.34615553875267</v>
          </cell>
        </row>
        <row r="210">
          <cell r="A210">
            <v>43668</v>
          </cell>
          <cell r="B210">
            <v>264.43834355981613</v>
          </cell>
        </row>
        <row r="211">
          <cell r="A211">
            <v>43669</v>
          </cell>
          <cell r="B211">
            <v>270.58614167056572</v>
          </cell>
        </row>
        <row r="212">
          <cell r="A212">
            <v>43670</v>
          </cell>
          <cell r="B212">
            <v>270.84810406327153</v>
          </cell>
        </row>
        <row r="213">
          <cell r="A213">
            <v>43671</v>
          </cell>
          <cell r="B213">
            <v>267.87973465054625</v>
          </cell>
        </row>
        <row r="214">
          <cell r="A214">
            <v>43672</v>
          </cell>
          <cell r="B214">
            <v>270.37431444012816</v>
          </cell>
        </row>
        <row r="215">
          <cell r="A215">
            <v>43675</v>
          </cell>
          <cell r="B215">
            <v>267.77624207172306</v>
          </cell>
        </row>
        <row r="216">
          <cell r="A216">
            <v>43676</v>
          </cell>
          <cell r="B216">
            <v>268.88843779717467</v>
          </cell>
        </row>
        <row r="217">
          <cell r="A217">
            <v>43677</v>
          </cell>
          <cell r="B217">
            <v>270.18703102251089</v>
          </cell>
        </row>
        <row r="218">
          <cell r="A218">
            <v>43678</v>
          </cell>
          <cell r="B218">
            <v>267.57622246980208</v>
          </cell>
        </row>
        <row r="219">
          <cell r="A219">
            <v>43679</v>
          </cell>
          <cell r="B219">
            <v>264.53015643783391</v>
          </cell>
        </row>
        <row r="220">
          <cell r="A220">
            <v>43682</v>
          </cell>
          <cell r="B220">
            <v>259.84625263296869</v>
          </cell>
        </row>
        <row r="221">
          <cell r="A221">
            <v>43683</v>
          </cell>
          <cell r="B221">
            <v>258.9090618171636</v>
          </cell>
        </row>
        <row r="222">
          <cell r="A222">
            <v>43684</v>
          </cell>
          <cell r="B222">
            <v>253.70150140478518</v>
          </cell>
        </row>
        <row r="223">
          <cell r="A223">
            <v>43685</v>
          </cell>
          <cell r="B223">
            <v>257.70825126329532</v>
          </cell>
        </row>
        <row r="224">
          <cell r="A224">
            <v>43686</v>
          </cell>
          <cell r="B224">
            <v>254.23508444165293</v>
          </cell>
        </row>
        <row r="225">
          <cell r="A225">
            <v>43690</v>
          </cell>
          <cell r="B225">
            <v>246.37662312979336</v>
          </cell>
        </row>
        <row r="226">
          <cell r="A226">
            <v>43691</v>
          </cell>
          <cell r="B226">
            <v>248.7253761877574</v>
          </cell>
        </row>
        <row r="227">
          <cell r="A227">
            <v>43693</v>
          </cell>
          <cell r="B227">
            <v>252.95674439670819</v>
          </cell>
        </row>
        <row r="228">
          <cell r="A228">
            <v>43696</v>
          </cell>
          <cell r="B228">
            <v>251.56433916733255</v>
          </cell>
        </row>
        <row r="229">
          <cell r="A229">
            <v>43697</v>
          </cell>
          <cell r="B229">
            <v>246.54955646084863</v>
          </cell>
        </row>
        <row r="230">
          <cell r="A230">
            <v>43698</v>
          </cell>
          <cell r="B230">
            <v>241.49950739901678</v>
          </cell>
        </row>
        <row r="231">
          <cell r="A231">
            <v>43699</v>
          </cell>
          <cell r="B231">
            <v>240.06392370757504</v>
          </cell>
        </row>
        <row r="232">
          <cell r="A232">
            <v>43700</v>
          </cell>
          <cell r="B232">
            <v>236.13896292888325</v>
          </cell>
        </row>
        <row r="233">
          <cell r="A233">
            <v>43703</v>
          </cell>
          <cell r="B233">
            <v>242.43430030461747</v>
          </cell>
        </row>
        <row r="234">
          <cell r="A234">
            <v>43704</v>
          </cell>
          <cell r="B234">
            <v>245.46956177433998</v>
          </cell>
        </row>
        <row r="235">
          <cell r="A235">
            <v>43705</v>
          </cell>
          <cell r="B235">
            <v>245.94557297968635</v>
          </cell>
        </row>
        <row r="236">
          <cell r="A236">
            <v>43706</v>
          </cell>
          <cell r="B236">
            <v>241.24656058619311</v>
          </cell>
        </row>
        <row r="237">
          <cell r="A237">
            <v>43707</v>
          </cell>
          <cell r="B237">
            <v>245.60480871519641</v>
          </cell>
        </row>
        <row r="238">
          <cell r="A238">
            <v>43711</v>
          </cell>
          <cell r="B238">
            <v>241.59034558771316</v>
          </cell>
        </row>
        <row r="239">
          <cell r="A239">
            <v>43712</v>
          </cell>
          <cell r="B239">
            <v>243.23297369184158</v>
          </cell>
        </row>
        <row r="240">
          <cell r="A240">
            <v>43713</v>
          </cell>
          <cell r="B240">
            <v>244.23998616056744</v>
          </cell>
        </row>
        <row r="241">
          <cell r="A241">
            <v>43714</v>
          </cell>
          <cell r="B241">
            <v>243.90341464780508</v>
          </cell>
        </row>
        <row r="242">
          <cell r="A242">
            <v>43717</v>
          </cell>
          <cell r="B242">
            <v>245.48379806932746</v>
          </cell>
        </row>
        <row r="243">
          <cell r="A243">
            <v>43719</v>
          </cell>
          <cell r="B243">
            <v>243.76730747883101</v>
          </cell>
        </row>
        <row r="244">
          <cell r="A244">
            <v>43720</v>
          </cell>
          <cell r="B244">
            <v>240.7796158927548</v>
          </cell>
        </row>
        <row r="245">
          <cell r="A245">
            <v>43721</v>
          </cell>
          <cell r="B245">
            <v>239.90839679388779</v>
          </cell>
        </row>
        <row r="246">
          <cell r="A246">
            <v>43724</v>
          </cell>
          <cell r="B246">
            <v>239.40502750557764</v>
          </cell>
        </row>
        <row r="247">
          <cell r="A247">
            <v>43725</v>
          </cell>
          <cell r="B247">
            <v>237.2218244078455</v>
          </cell>
        </row>
        <row r="248">
          <cell r="A248">
            <v>43726</v>
          </cell>
          <cell r="B248">
            <v>239.22942626934082</v>
          </cell>
        </row>
        <row r="249">
          <cell r="A249">
            <v>43727</v>
          </cell>
          <cell r="B249">
            <v>236.72532961026829</v>
          </cell>
        </row>
        <row r="250">
          <cell r="A250">
            <v>43728</v>
          </cell>
          <cell r="B250">
            <v>238.03643192338038</v>
          </cell>
        </row>
        <row r="251">
          <cell r="A251">
            <v>43731</v>
          </cell>
          <cell r="B251">
            <v>254.67020283679719</v>
          </cell>
        </row>
        <row r="252">
          <cell r="A252">
            <v>43732</v>
          </cell>
          <cell r="B252">
            <v>255.98848051837666</v>
          </cell>
        </row>
        <row r="253">
          <cell r="A253">
            <v>43733</v>
          </cell>
          <cell r="B253">
            <v>247.63171846709417</v>
          </cell>
        </row>
        <row r="254">
          <cell r="A254">
            <v>43734</v>
          </cell>
          <cell r="B254">
            <v>250.3712073111592</v>
          </cell>
        </row>
        <row r="255">
          <cell r="A255">
            <v>43735</v>
          </cell>
          <cell r="B255">
            <v>252.92420173142338</v>
          </cell>
        </row>
        <row r="256">
          <cell r="A256">
            <v>43738</v>
          </cell>
          <cell r="B256">
            <v>259.77908031107512</v>
          </cell>
        </row>
        <row r="257">
          <cell r="A257">
            <v>43739</v>
          </cell>
          <cell r="B257">
            <v>255.93890271321243</v>
          </cell>
        </row>
        <row r="258">
          <cell r="A258">
            <v>43741</v>
          </cell>
          <cell r="B258">
            <v>261.59114199305156</v>
          </cell>
        </row>
        <row r="259">
          <cell r="A259">
            <v>43742</v>
          </cell>
          <cell r="B259">
            <v>257.29322526184399</v>
          </cell>
        </row>
        <row r="260">
          <cell r="A260">
            <v>43745</v>
          </cell>
          <cell r="B260">
            <v>251.95240610046889</v>
          </cell>
        </row>
        <row r="261">
          <cell r="A261">
            <v>43747</v>
          </cell>
          <cell r="B261">
            <v>247.14720511617719</v>
          </cell>
        </row>
        <row r="262">
          <cell r="A262">
            <v>43748</v>
          </cell>
          <cell r="B262">
            <v>243.2384316722042</v>
          </cell>
        </row>
        <row r="263">
          <cell r="A263">
            <v>43749</v>
          </cell>
          <cell r="B263">
            <v>243.94243778442871</v>
          </cell>
        </row>
        <row r="264">
          <cell r="A264">
            <v>43752</v>
          </cell>
          <cell r="B264">
            <v>244.09853540878754</v>
          </cell>
        </row>
        <row r="265">
          <cell r="A265">
            <v>43753</v>
          </cell>
          <cell r="B265">
            <v>247.56459826244847</v>
          </cell>
        </row>
        <row r="266">
          <cell r="A266">
            <v>43754</v>
          </cell>
          <cell r="B266">
            <v>243.68899023843818</v>
          </cell>
        </row>
        <row r="267">
          <cell r="A267">
            <v>43755</v>
          </cell>
          <cell r="B267">
            <v>245.82787549120582</v>
          </cell>
        </row>
        <row r="268">
          <cell r="A268">
            <v>43756</v>
          </cell>
          <cell r="B268">
            <v>246.49359116662964</v>
          </cell>
        </row>
        <row r="269">
          <cell r="A269">
            <v>43760</v>
          </cell>
          <cell r="B269">
            <v>248.87585904167295</v>
          </cell>
        </row>
        <row r="270">
          <cell r="A270">
            <v>43761</v>
          </cell>
          <cell r="B270">
            <v>251.02841155660613</v>
          </cell>
        </row>
        <row r="271">
          <cell r="A271">
            <v>43762</v>
          </cell>
          <cell r="B271">
            <v>249.06992559404753</v>
          </cell>
        </row>
        <row r="272">
          <cell r="A272">
            <v>43763</v>
          </cell>
          <cell r="B272">
            <v>247.7133765223322</v>
          </cell>
        </row>
        <row r="273">
          <cell r="A273">
            <v>43765</v>
          </cell>
          <cell r="B273">
            <v>250.37270937467818</v>
          </cell>
        </row>
        <row r="274">
          <cell r="A274">
            <v>43767</v>
          </cell>
          <cell r="B274">
            <v>253.22113279086184</v>
          </cell>
        </row>
        <row r="275">
          <cell r="A275">
            <v>43768</v>
          </cell>
          <cell r="B275">
            <v>259.33698111358939</v>
          </cell>
        </row>
        <row r="276">
          <cell r="A276">
            <v>43769</v>
          </cell>
          <cell r="B276">
            <v>257.66726370666834</v>
          </cell>
        </row>
        <row r="277">
          <cell r="A277">
            <v>43770</v>
          </cell>
          <cell r="B277">
            <v>261.26290066810509</v>
          </cell>
        </row>
        <row r="278">
          <cell r="A278">
            <v>43773</v>
          </cell>
          <cell r="B278">
            <v>260.75547586499317</v>
          </cell>
        </row>
        <row r="279">
          <cell r="A279">
            <v>43774</v>
          </cell>
          <cell r="B279">
            <v>262.87844396759465</v>
          </cell>
        </row>
        <row r="280">
          <cell r="A280">
            <v>43775</v>
          </cell>
          <cell r="B280">
            <v>261.36542055981306</v>
          </cell>
        </row>
        <row r="281">
          <cell r="A281">
            <v>43776</v>
          </cell>
          <cell r="B281">
            <v>265.80428166355387</v>
          </cell>
        </row>
        <row r="282">
          <cell r="A282">
            <v>43777</v>
          </cell>
          <cell r="B282">
            <v>260.55237102657634</v>
          </cell>
        </row>
        <row r="283">
          <cell r="A283">
            <v>43780</v>
          </cell>
          <cell r="B283">
            <v>259.46037841513663</v>
          </cell>
        </row>
        <row r="284">
          <cell r="A284">
            <v>43782</v>
          </cell>
          <cell r="B284">
            <v>253.90484344618437</v>
          </cell>
        </row>
        <row r="285">
          <cell r="A285">
            <v>43783</v>
          </cell>
          <cell r="B285">
            <v>253.89949220101559</v>
          </cell>
        </row>
        <row r="286">
          <cell r="A286">
            <v>43784</v>
          </cell>
          <cell r="B286">
            <v>250.68208730717532</v>
          </cell>
        </row>
        <row r="287">
          <cell r="A287">
            <v>43787</v>
          </cell>
          <cell r="B287">
            <v>250.74899700401201</v>
          </cell>
        </row>
        <row r="288">
          <cell r="A288">
            <v>43788</v>
          </cell>
          <cell r="B288">
            <v>249.31446023869387</v>
          </cell>
        </row>
        <row r="289">
          <cell r="A289">
            <v>43789</v>
          </cell>
          <cell r="B289">
            <v>250.68596158615114</v>
          </cell>
        </row>
        <row r="290">
          <cell r="A290">
            <v>43790</v>
          </cell>
          <cell r="B290">
            <v>245.74890403190233</v>
          </cell>
        </row>
        <row r="291">
          <cell r="A291">
            <v>43791</v>
          </cell>
          <cell r="B291">
            <v>247.63043719546158</v>
          </cell>
        </row>
        <row r="292">
          <cell r="A292">
            <v>43794</v>
          </cell>
          <cell r="B292">
            <v>247.74900900396401</v>
          </cell>
        </row>
        <row r="293">
          <cell r="A293">
            <v>43795</v>
          </cell>
          <cell r="B293">
            <v>249.13579925944222</v>
          </cell>
        </row>
        <row r="294">
          <cell r="A294">
            <v>43796</v>
          </cell>
          <cell r="B294">
            <v>246.97173351254909</v>
          </cell>
        </row>
        <row r="295">
          <cell r="A295">
            <v>43797</v>
          </cell>
          <cell r="B295">
            <v>246.70246702467023</v>
          </cell>
        </row>
        <row r="296">
          <cell r="A296">
            <v>43798</v>
          </cell>
          <cell r="B296">
            <v>246.40295683548203</v>
          </cell>
        </row>
        <row r="297">
          <cell r="A297">
            <v>43801</v>
          </cell>
          <cell r="B297">
            <v>244.96445290272126</v>
          </cell>
        </row>
        <row r="298">
          <cell r="A298">
            <v>43802</v>
          </cell>
          <cell r="B298">
            <v>244.05903018411681</v>
          </cell>
        </row>
        <row r="299">
          <cell r="A299">
            <v>43803</v>
          </cell>
          <cell r="B299">
            <v>243.15899688288465</v>
          </cell>
        </row>
        <row r="300">
          <cell r="A300">
            <v>43804</v>
          </cell>
          <cell r="B300">
            <v>246.91148180883781</v>
          </cell>
        </row>
        <row r="301">
          <cell r="A301">
            <v>43805</v>
          </cell>
          <cell r="B301">
            <v>243.38553428800603</v>
          </cell>
        </row>
        <row r="302">
          <cell r="A302">
            <v>43808</v>
          </cell>
          <cell r="B302">
            <v>241.46883456909637</v>
          </cell>
        </row>
        <row r="303">
          <cell r="A303">
            <v>43809</v>
          </cell>
          <cell r="B303">
            <v>235.65702900101823</v>
          </cell>
        </row>
        <row r="304">
          <cell r="A304">
            <v>43810</v>
          </cell>
          <cell r="B304">
            <v>237.57980571651413</v>
          </cell>
        </row>
        <row r="305">
          <cell r="A305">
            <v>43811</v>
          </cell>
          <cell r="B305">
            <v>238.54045838166473</v>
          </cell>
        </row>
        <row r="306">
          <cell r="A306">
            <v>43812</v>
          </cell>
          <cell r="B306">
            <v>241.5690791578678</v>
          </cell>
        </row>
        <row r="307">
          <cell r="A307">
            <v>43815</v>
          </cell>
          <cell r="B307">
            <v>236.94620450987941</v>
          </cell>
        </row>
        <row r="308">
          <cell r="A308">
            <v>43816</v>
          </cell>
          <cell r="B308">
            <v>241.00782363086461</v>
          </cell>
        </row>
        <row r="309">
          <cell r="A309">
            <v>43817</v>
          </cell>
          <cell r="B309">
            <v>245.10833158363079</v>
          </cell>
        </row>
        <row r="310">
          <cell r="A310">
            <v>43818</v>
          </cell>
          <cell r="B310">
            <v>244.35806381610593</v>
          </cell>
        </row>
        <row r="311">
          <cell r="A311">
            <v>43819</v>
          </cell>
          <cell r="B311">
            <v>241.18159478891735</v>
          </cell>
        </row>
        <row r="312">
          <cell r="A312">
            <v>43822</v>
          </cell>
          <cell r="B312">
            <v>238.92221976643827</v>
          </cell>
        </row>
        <row r="313">
          <cell r="A313">
            <v>43823</v>
          </cell>
          <cell r="B313">
            <v>238.75143250859503</v>
          </cell>
        </row>
        <row r="314">
          <cell r="A314">
            <v>43825</v>
          </cell>
          <cell r="B314">
            <v>236.8194191923738</v>
          </cell>
        </row>
        <row r="315">
          <cell r="A315">
            <v>43826</v>
          </cell>
          <cell r="B315">
            <v>236.89905240379042</v>
          </cell>
        </row>
        <row r="316">
          <cell r="A316">
            <v>43829</v>
          </cell>
          <cell r="B316">
            <v>238.18689972051538</v>
          </cell>
        </row>
        <row r="317">
          <cell r="A317">
            <v>43830</v>
          </cell>
          <cell r="B317">
            <v>237.7049918048279</v>
          </cell>
        </row>
        <row r="318">
          <cell r="A318">
            <v>43831</v>
          </cell>
          <cell r="B318">
            <v>238.09595236880975</v>
          </cell>
        </row>
        <row r="319">
          <cell r="A319">
            <v>43832</v>
          </cell>
          <cell r="B319">
            <v>239.83249222806734</v>
          </cell>
        </row>
        <row r="320">
          <cell r="A320">
            <v>43833</v>
          </cell>
          <cell r="B320">
            <v>238.51335674797787</v>
          </cell>
        </row>
        <row r="321">
          <cell r="A321">
            <v>43836</v>
          </cell>
          <cell r="B321">
            <v>235.13362410824749</v>
          </cell>
        </row>
        <row r="322">
          <cell r="A322">
            <v>43837</v>
          </cell>
          <cell r="B322">
            <v>235.34741117847705</v>
          </cell>
        </row>
        <row r="323">
          <cell r="A323">
            <v>43838</v>
          </cell>
          <cell r="B323">
            <v>234.21147636234173</v>
          </cell>
        </row>
        <row r="324">
          <cell r="A324">
            <v>43839</v>
          </cell>
          <cell r="B324">
            <v>235.78396669026509</v>
          </cell>
        </row>
        <row r="325">
          <cell r="A325">
            <v>43840</v>
          </cell>
          <cell r="B325">
            <v>237.97786805827062</v>
          </cell>
        </row>
        <row r="326">
          <cell r="A326">
            <v>43843</v>
          </cell>
          <cell r="B326">
            <v>239.2373204220176</v>
          </cell>
        </row>
        <row r="327">
          <cell r="A327">
            <v>43844</v>
          </cell>
          <cell r="B327">
            <v>243.2093840328665</v>
          </cell>
        </row>
        <row r="328">
          <cell r="A328">
            <v>43845</v>
          </cell>
          <cell r="B328">
            <v>242.40848429695041</v>
          </cell>
        </row>
        <row r="329">
          <cell r="A329">
            <v>43846</v>
          </cell>
          <cell r="B329">
            <v>240.7663721133037</v>
          </cell>
        </row>
        <row r="330">
          <cell r="A330">
            <v>43847</v>
          </cell>
          <cell r="B330">
            <v>239.95791861131414</v>
          </cell>
        </row>
        <row r="331">
          <cell r="A331">
            <v>43850</v>
          </cell>
          <cell r="B331">
            <v>241.88040768697735</v>
          </cell>
        </row>
        <row r="332">
          <cell r="A332">
            <v>43851</v>
          </cell>
          <cell r="B332">
            <v>238.48410322676142</v>
          </cell>
        </row>
        <row r="333">
          <cell r="A333">
            <v>43852</v>
          </cell>
          <cell r="B333">
            <v>238.05404691879764</v>
          </cell>
        </row>
        <row r="334">
          <cell r="A334">
            <v>43853</v>
          </cell>
          <cell r="B334">
            <v>237.90142740856444</v>
          </cell>
        </row>
        <row r="335">
          <cell r="A335">
            <v>43854</v>
          </cell>
          <cell r="B335">
            <v>238.14738037881585</v>
          </cell>
        </row>
        <row r="336">
          <cell r="A336">
            <v>43857</v>
          </cell>
          <cell r="B336">
            <v>234.63496060913076</v>
          </cell>
        </row>
        <row r="337">
          <cell r="A337">
            <v>43858</v>
          </cell>
          <cell r="B337">
            <v>230.78784920727</v>
          </cell>
        </row>
        <row r="338">
          <cell r="A338">
            <v>43859</v>
          </cell>
          <cell r="B338">
            <v>236.5894331051251</v>
          </cell>
        </row>
        <row r="339">
          <cell r="A339">
            <v>43860</v>
          </cell>
          <cell r="B339">
            <v>234.07574833231658</v>
          </cell>
        </row>
        <row r="340">
          <cell r="A340">
            <v>43861</v>
          </cell>
          <cell r="B340">
            <v>235.13894846942196</v>
          </cell>
        </row>
        <row r="341">
          <cell r="A341">
            <v>43862</v>
          </cell>
          <cell r="B341">
            <v>219.15055643226896</v>
          </cell>
        </row>
        <row r="342">
          <cell r="A342">
            <v>43864</v>
          </cell>
          <cell r="B342">
            <v>207.70821598052584</v>
          </cell>
        </row>
        <row r="343">
          <cell r="A343">
            <v>43865</v>
          </cell>
          <cell r="B343">
            <v>215.56636025222213</v>
          </cell>
        </row>
        <row r="344">
          <cell r="A344">
            <v>43866</v>
          </cell>
          <cell r="B344">
            <v>216.44199164630905</v>
          </cell>
        </row>
        <row r="345">
          <cell r="A345">
            <v>43867</v>
          </cell>
          <cell r="B345">
            <v>213.57861953501771</v>
          </cell>
        </row>
        <row r="346">
          <cell r="A346">
            <v>43868</v>
          </cell>
          <cell r="B346">
            <v>213.40149381045669</v>
          </cell>
        </row>
        <row r="347">
          <cell r="A347">
            <v>43871</v>
          </cell>
          <cell r="B347">
            <v>210.57821748114247</v>
          </cell>
        </row>
        <row r="348">
          <cell r="A348">
            <v>43872</v>
          </cell>
          <cell r="B348">
            <v>212.57937980015939</v>
          </cell>
        </row>
        <row r="349">
          <cell r="A349">
            <v>43873</v>
          </cell>
          <cell r="B349">
            <v>213.04552604395309</v>
          </cell>
        </row>
        <row r="350">
          <cell r="A350">
            <v>43874</v>
          </cell>
          <cell r="B350">
            <v>211.91144321793377</v>
          </cell>
        </row>
        <row r="351">
          <cell r="A351">
            <v>43875</v>
          </cell>
          <cell r="B351">
            <v>207.74113274428336</v>
          </cell>
        </row>
        <row r="352">
          <cell r="A352">
            <v>43878</v>
          </cell>
          <cell r="B352">
            <v>204.82867601464207</v>
          </cell>
        </row>
        <row r="353">
          <cell r="A353">
            <v>43879</v>
          </cell>
          <cell r="B353">
            <v>203.85937753136645</v>
          </cell>
        </row>
        <row r="354">
          <cell r="A354">
            <v>43880</v>
          </cell>
          <cell r="B354">
            <v>206.67106605075287</v>
          </cell>
        </row>
        <row r="355">
          <cell r="A355">
            <v>43881</v>
          </cell>
          <cell r="B355">
            <v>207.44253206884554</v>
          </cell>
        </row>
        <row r="356">
          <cell r="A356">
            <v>43885</v>
          </cell>
          <cell r="B356">
            <v>203.04365438569292</v>
          </cell>
        </row>
        <row r="357">
          <cell r="A357">
            <v>43886</v>
          </cell>
          <cell r="B357">
            <v>201.81190690250727</v>
          </cell>
        </row>
        <row r="358">
          <cell r="A358">
            <v>43887</v>
          </cell>
          <cell r="B358">
            <v>198.63158242160503</v>
          </cell>
        </row>
        <row r="359">
          <cell r="A359">
            <v>43888</v>
          </cell>
          <cell r="B359">
            <v>197.56047070494736</v>
          </cell>
        </row>
        <row r="360">
          <cell r="A360">
            <v>43889</v>
          </cell>
          <cell r="B360">
            <v>197.55</v>
          </cell>
        </row>
        <row r="361">
          <cell r="A361">
            <v>43892</v>
          </cell>
          <cell r="B361">
            <v>195.32226673840819</v>
          </cell>
        </row>
        <row r="362">
          <cell r="A362">
            <v>43893</v>
          </cell>
          <cell r="B362">
            <v>193.86434596160115</v>
          </cell>
        </row>
        <row r="363">
          <cell r="A363">
            <v>43894</v>
          </cell>
          <cell r="B363">
            <v>187.56152017861859</v>
          </cell>
        </row>
        <row r="364">
          <cell r="A364">
            <v>43895</v>
          </cell>
          <cell r="B364">
            <v>188.04454670814548</v>
          </cell>
        </row>
        <row r="365">
          <cell r="A365">
            <v>43896</v>
          </cell>
          <cell r="B365">
            <v>181.81090665372901</v>
          </cell>
        </row>
        <row r="366">
          <cell r="A366">
            <v>43899</v>
          </cell>
          <cell r="B366">
            <v>177.24431107776942</v>
          </cell>
        </row>
        <row r="367">
          <cell r="A367">
            <v>43901</v>
          </cell>
          <cell r="B367">
            <v>175.66528287961052</v>
          </cell>
        </row>
        <row r="368">
          <cell r="A368">
            <v>43902</v>
          </cell>
          <cell r="B368">
            <v>155.97625316607767</v>
          </cell>
        </row>
        <row r="369">
          <cell r="A369">
            <v>43903</v>
          </cell>
          <cell r="B369">
            <v>162.18285629749286</v>
          </cell>
        </row>
        <row r="370">
          <cell r="A370">
            <v>43906</v>
          </cell>
          <cell r="B370">
            <v>147.38618483478734</v>
          </cell>
        </row>
        <row r="371">
          <cell r="A371">
            <v>43907</v>
          </cell>
          <cell r="B371">
            <v>149.130762131685</v>
          </cell>
        </row>
        <row r="372">
          <cell r="A372">
            <v>43908</v>
          </cell>
          <cell r="B372">
            <v>150.68432882980167</v>
          </cell>
        </row>
        <row r="373">
          <cell r="A373">
            <v>43909</v>
          </cell>
          <cell r="B373">
            <v>161.73031956352298</v>
          </cell>
        </row>
        <row r="374">
          <cell r="A374">
            <v>43910</v>
          </cell>
          <cell r="B374">
            <v>175.35217811385004</v>
          </cell>
        </row>
        <row r="375">
          <cell r="A375">
            <v>43913</v>
          </cell>
          <cell r="B375">
            <v>154.48661983676283</v>
          </cell>
        </row>
        <row r="376">
          <cell r="A376">
            <v>43914</v>
          </cell>
          <cell r="B376">
            <v>149.74462389792157</v>
          </cell>
        </row>
        <row r="377">
          <cell r="A377">
            <v>43915</v>
          </cell>
          <cell r="B377">
            <v>147.37313758260046</v>
          </cell>
        </row>
        <row r="378">
          <cell r="A378">
            <v>43916</v>
          </cell>
          <cell r="B378">
            <v>156.30402932599387</v>
          </cell>
        </row>
        <row r="379">
          <cell r="A379">
            <v>43917</v>
          </cell>
          <cell r="B379">
            <v>163.12903886809238</v>
          </cell>
        </row>
        <row r="380">
          <cell r="A380">
            <v>43920</v>
          </cell>
          <cell r="B380">
            <v>159.23901355832177</v>
          </cell>
        </row>
        <row r="381">
          <cell r="A381">
            <v>43921</v>
          </cell>
          <cell r="B381">
            <v>171.56532122284005</v>
          </cell>
        </row>
        <row r="382">
          <cell r="A382">
            <v>43922</v>
          </cell>
          <cell r="B382">
            <v>166.45143349294932</v>
          </cell>
        </row>
        <row r="383">
          <cell r="A383">
            <v>43924</v>
          </cell>
          <cell r="B383">
            <v>177.77715598521422</v>
          </cell>
        </row>
        <row r="384">
          <cell r="A384">
            <v>43928</v>
          </cell>
          <cell r="B384">
            <v>181.51278987807501</v>
          </cell>
        </row>
        <row r="385">
          <cell r="A385">
            <v>43929</v>
          </cell>
          <cell r="B385">
            <v>178.67858857417187</v>
          </cell>
        </row>
        <row r="386">
          <cell r="A386">
            <v>43930</v>
          </cell>
          <cell r="B386">
            <v>185.18166796452107</v>
          </cell>
        </row>
        <row r="387">
          <cell r="A387">
            <v>43934</v>
          </cell>
          <cell r="B387">
            <v>181.63578224910307</v>
          </cell>
        </row>
        <row r="388">
          <cell r="A388">
            <v>43936</v>
          </cell>
          <cell r="B388">
            <v>189.26918205926069</v>
          </cell>
        </row>
        <row r="389">
          <cell r="A389">
            <v>43937</v>
          </cell>
          <cell r="B389">
            <v>186.37944795277653</v>
          </cell>
        </row>
        <row r="390">
          <cell r="A390">
            <v>43938</v>
          </cell>
          <cell r="B390">
            <v>188.08232026189538</v>
          </cell>
        </row>
        <row r="391">
          <cell r="A391">
            <v>43941</v>
          </cell>
          <cell r="B391">
            <v>180.77104301990681</v>
          </cell>
        </row>
        <row r="392">
          <cell r="A392">
            <v>43942</v>
          </cell>
          <cell r="B392">
            <v>179.61095626833236</v>
          </cell>
        </row>
        <row r="393">
          <cell r="A393">
            <v>43943</v>
          </cell>
          <cell r="B393">
            <v>182.22303099141325</v>
          </cell>
        </row>
        <row r="394">
          <cell r="A394">
            <v>43944</v>
          </cell>
          <cell r="B394">
            <v>180.5667927117222</v>
          </cell>
        </row>
        <row r="395">
          <cell r="A395">
            <v>43945</v>
          </cell>
          <cell r="B395">
            <v>180.05504154116318</v>
          </cell>
        </row>
        <row r="396">
          <cell r="A396">
            <v>43948</v>
          </cell>
          <cell r="B396">
            <v>179.85197837176207</v>
          </cell>
        </row>
        <row r="397">
          <cell r="A397">
            <v>43949</v>
          </cell>
          <cell r="B397">
            <v>179.4539479868557</v>
          </cell>
        </row>
        <row r="398">
          <cell r="A398">
            <v>43950</v>
          </cell>
          <cell r="B398">
            <v>182.12268159776033</v>
          </cell>
        </row>
        <row r="399">
          <cell r="A399">
            <v>43951</v>
          </cell>
          <cell r="B399">
            <v>182.0509102545513</v>
          </cell>
        </row>
        <row r="400">
          <cell r="A400">
            <v>43955</v>
          </cell>
          <cell r="B400">
            <v>174.12644150782194</v>
          </cell>
        </row>
        <row r="401">
          <cell r="A401">
            <v>43956</v>
          </cell>
          <cell r="B401">
            <v>173.90156511408603</v>
          </cell>
        </row>
        <row r="402">
          <cell r="A402">
            <v>43957</v>
          </cell>
          <cell r="B402">
            <v>163.99429672061436</v>
          </cell>
        </row>
        <row r="403">
          <cell r="A403">
            <v>43958</v>
          </cell>
          <cell r="B403">
            <v>161.02850204486194</v>
          </cell>
        </row>
        <row r="404">
          <cell r="A404">
            <v>43959</v>
          </cell>
          <cell r="B404">
            <v>158.27706537817969</v>
          </cell>
        </row>
        <row r="405">
          <cell r="A405">
            <v>43962</v>
          </cell>
          <cell r="B405">
            <v>158.44794017677768</v>
          </cell>
        </row>
        <row r="406">
          <cell r="A406">
            <v>43963</v>
          </cell>
          <cell r="B406">
            <v>164.98120283841641</v>
          </cell>
        </row>
        <row r="407">
          <cell r="A407">
            <v>43964</v>
          </cell>
          <cell r="B407">
            <v>165.39652667293987</v>
          </cell>
        </row>
        <row r="408">
          <cell r="A408">
            <v>43965</v>
          </cell>
          <cell r="B408">
            <v>163.81589014134371</v>
          </cell>
        </row>
        <row r="409">
          <cell r="A409">
            <v>43966</v>
          </cell>
          <cell r="B409">
            <v>164.64143864519048</v>
          </cell>
        </row>
        <row r="410">
          <cell r="A410">
            <v>43969</v>
          </cell>
          <cell r="B410">
            <v>164.74901150593098</v>
          </cell>
        </row>
        <row r="411">
          <cell r="A411">
            <v>43970</v>
          </cell>
          <cell r="B411">
            <v>170.68786961545996</v>
          </cell>
        </row>
        <row r="412">
          <cell r="A412">
            <v>43971</v>
          </cell>
          <cell r="B412">
            <v>175.69852033354226</v>
          </cell>
        </row>
        <row r="413">
          <cell r="A413">
            <v>43972</v>
          </cell>
          <cell r="B413">
            <v>188.80820503801644</v>
          </cell>
        </row>
        <row r="414">
          <cell r="A414">
            <v>43973</v>
          </cell>
          <cell r="B414">
            <v>186.37571984933919</v>
          </cell>
        </row>
        <row r="415">
          <cell r="A415">
            <v>43977</v>
          </cell>
          <cell r="B415">
            <v>191.64499788560684</v>
          </cell>
        </row>
        <row r="416">
          <cell r="A416">
            <v>43978</v>
          </cell>
          <cell r="B416">
            <v>192.14558065164499</v>
          </cell>
        </row>
        <row r="417">
          <cell r="A417">
            <v>43979</v>
          </cell>
          <cell r="B417">
            <v>190.66487186000509</v>
          </cell>
        </row>
        <row r="418">
          <cell r="A418">
            <v>43980</v>
          </cell>
          <cell r="B418">
            <v>197.28075445518621</v>
          </cell>
        </row>
        <row r="419">
          <cell r="A419">
            <v>43983</v>
          </cell>
          <cell r="B419">
            <v>200.5175161623817</v>
          </cell>
        </row>
        <row r="420">
          <cell r="A420">
            <v>43984</v>
          </cell>
          <cell r="B420">
            <v>197.28255162101746</v>
          </cell>
        </row>
        <row r="421">
          <cell r="A421">
            <v>43985</v>
          </cell>
          <cell r="B421">
            <v>196.70550775421711</v>
          </cell>
        </row>
        <row r="422">
          <cell r="A422">
            <v>43986</v>
          </cell>
          <cell r="B422">
            <v>200.11497987852127</v>
          </cell>
        </row>
        <row r="423">
          <cell r="A423">
            <v>43987</v>
          </cell>
          <cell r="B423">
            <v>200.00140000980005</v>
          </cell>
        </row>
        <row r="424">
          <cell r="A424">
            <v>43990</v>
          </cell>
          <cell r="B424">
            <v>197.67332545240339</v>
          </cell>
        </row>
        <row r="425">
          <cell r="A425">
            <v>43991</v>
          </cell>
          <cell r="B425">
            <v>198.49146486701071</v>
          </cell>
        </row>
        <row r="426">
          <cell r="A426">
            <v>43992</v>
          </cell>
          <cell r="B426">
            <v>199.04442675605085</v>
          </cell>
        </row>
        <row r="427">
          <cell r="A427">
            <v>43993</v>
          </cell>
          <cell r="B427">
            <v>194.29682553495394</v>
          </cell>
        </row>
        <row r="428">
          <cell r="A428">
            <v>43994</v>
          </cell>
          <cell r="B428">
            <v>193.90349026282473</v>
          </cell>
        </row>
        <row r="429">
          <cell r="A429">
            <v>43997</v>
          </cell>
          <cell r="B429">
            <v>187.26479361859202</v>
          </cell>
        </row>
        <row r="430">
          <cell r="A430">
            <v>43998</v>
          </cell>
          <cell r="B430">
            <v>185.02183257624398</v>
          </cell>
        </row>
        <row r="431">
          <cell r="A431">
            <v>43999</v>
          </cell>
          <cell r="B431">
            <v>181.23715361649138</v>
          </cell>
        </row>
        <row r="432">
          <cell r="A432">
            <v>44000</v>
          </cell>
          <cell r="B432">
            <v>186.54440976588978</v>
          </cell>
        </row>
        <row r="433">
          <cell r="A433">
            <v>44001</v>
          </cell>
          <cell r="B433">
            <v>184.07521830490779</v>
          </cell>
        </row>
        <row r="434">
          <cell r="A434">
            <v>44004</v>
          </cell>
          <cell r="B434">
            <v>184.990380500214</v>
          </cell>
        </row>
        <row r="435">
          <cell r="A435">
            <v>44005</v>
          </cell>
          <cell r="B435">
            <v>185.84145129324051</v>
          </cell>
        </row>
        <row r="436">
          <cell r="A436">
            <v>44006</v>
          </cell>
          <cell r="B436">
            <v>191.78805245905571</v>
          </cell>
        </row>
        <row r="437">
          <cell r="A437">
            <v>44007</v>
          </cell>
          <cell r="B437">
            <v>201.99213619926957</v>
          </cell>
        </row>
        <row r="438">
          <cell r="A438">
            <v>44008</v>
          </cell>
          <cell r="B438">
            <v>195.26658590579387</v>
          </cell>
        </row>
        <row r="439">
          <cell r="A439">
            <v>44011</v>
          </cell>
          <cell r="B439">
            <v>197.22929092445293</v>
          </cell>
        </row>
        <row r="440">
          <cell r="A440">
            <v>44012</v>
          </cell>
          <cell r="B440">
            <v>194.67569719202936</v>
          </cell>
        </row>
        <row r="441">
          <cell r="A441">
            <v>44013</v>
          </cell>
          <cell r="B441">
            <v>202.81400686109092</v>
          </cell>
        </row>
        <row r="442">
          <cell r="A442">
            <v>44014</v>
          </cell>
          <cell r="B442">
            <v>205.82015607736875</v>
          </cell>
        </row>
        <row r="443">
          <cell r="A443">
            <v>44015</v>
          </cell>
          <cell r="B443">
            <v>207.53277477969328</v>
          </cell>
        </row>
        <row r="444">
          <cell r="A444">
            <v>44018</v>
          </cell>
          <cell r="B444">
            <v>199.87455320834673</v>
          </cell>
        </row>
        <row r="445">
          <cell r="A445">
            <v>44019</v>
          </cell>
          <cell r="B445">
            <v>194.30401651659162</v>
          </cell>
        </row>
        <row r="446">
          <cell r="A446">
            <v>44020</v>
          </cell>
          <cell r="B446">
            <v>196.27919440539304</v>
          </cell>
        </row>
        <row r="447">
          <cell r="A447">
            <v>44021</v>
          </cell>
          <cell r="B447">
            <v>195.45840471140258</v>
          </cell>
        </row>
        <row r="448">
          <cell r="A448">
            <v>44022</v>
          </cell>
          <cell r="B448">
            <v>194.36088420951572</v>
          </cell>
        </row>
        <row r="449">
          <cell r="A449">
            <v>44025</v>
          </cell>
          <cell r="B449">
            <v>197.5174096274115</v>
          </cell>
        </row>
        <row r="450">
          <cell r="A450">
            <v>44026</v>
          </cell>
          <cell r="B450">
            <v>195.91645698238653</v>
          </cell>
        </row>
        <row r="451">
          <cell r="A451">
            <v>44027</v>
          </cell>
          <cell r="B451">
            <v>198.67158996263532</v>
          </cell>
        </row>
        <row r="452">
          <cell r="A452">
            <v>44028</v>
          </cell>
          <cell r="B452">
            <v>193.89731094387031</v>
          </cell>
        </row>
        <row r="453">
          <cell r="A453">
            <v>44029</v>
          </cell>
          <cell r="B453">
            <v>194.0480595194048</v>
          </cell>
        </row>
        <row r="454">
          <cell r="A454">
            <v>44032</v>
          </cell>
          <cell r="B454">
            <v>192.7134899442961</v>
          </cell>
        </row>
        <row r="455">
          <cell r="A455">
            <v>44033</v>
          </cell>
          <cell r="B455">
            <v>192.2544218517026</v>
          </cell>
        </row>
        <row r="456">
          <cell r="A456">
            <v>44034</v>
          </cell>
          <cell r="B456">
            <v>196.50598265988421</v>
          </cell>
        </row>
        <row r="457">
          <cell r="A457">
            <v>44035</v>
          </cell>
          <cell r="B457">
            <v>200.65766123347973</v>
          </cell>
        </row>
        <row r="458">
          <cell r="A458">
            <v>44036</v>
          </cell>
          <cell r="B458">
            <v>199.61097860382321</v>
          </cell>
        </row>
        <row r="459">
          <cell r="A459">
            <v>44039</v>
          </cell>
          <cell r="B459">
            <v>196.4314290286446</v>
          </cell>
        </row>
        <row r="460">
          <cell r="A460">
            <v>44040</v>
          </cell>
          <cell r="B460">
            <v>195.40996590826134</v>
          </cell>
        </row>
        <row r="461">
          <cell r="A461">
            <v>44041</v>
          </cell>
          <cell r="B461">
            <v>196.68682198292711</v>
          </cell>
        </row>
        <row r="462">
          <cell r="A462">
            <v>44042</v>
          </cell>
          <cell r="B462">
            <v>193.38287508876508</v>
          </cell>
        </row>
        <row r="463">
          <cell r="A463">
            <v>44043</v>
          </cell>
          <cell r="B463">
            <v>194.14204017635279</v>
          </cell>
        </row>
        <row r="464">
          <cell r="A464">
            <v>44046</v>
          </cell>
          <cell r="B464">
            <v>192.61540923273861</v>
          </cell>
        </row>
        <row r="465">
          <cell r="A465">
            <v>44047</v>
          </cell>
          <cell r="B465">
            <v>193.63934983575905</v>
          </cell>
        </row>
        <row r="466">
          <cell r="A466">
            <v>44048</v>
          </cell>
          <cell r="B466">
            <v>192.80848357327724</v>
          </cell>
        </row>
        <row r="467">
          <cell r="A467">
            <v>44049</v>
          </cell>
          <cell r="B467">
            <v>195.32421720332914</v>
          </cell>
        </row>
        <row r="468">
          <cell r="A468">
            <v>44050</v>
          </cell>
          <cell r="B468">
            <v>196.04294245407169</v>
          </cell>
        </row>
        <row r="469">
          <cell r="A469">
            <v>44053</v>
          </cell>
          <cell r="B469">
            <v>198.82156851570224</v>
          </cell>
        </row>
        <row r="470">
          <cell r="A470">
            <v>44054</v>
          </cell>
          <cell r="B470">
            <v>203.00716548808202</v>
          </cell>
        </row>
        <row r="471">
          <cell r="A471">
            <v>44055</v>
          </cell>
          <cell r="B471">
            <v>204.18836126340798</v>
          </cell>
        </row>
        <row r="472">
          <cell r="A472">
            <v>44056</v>
          </cell>
          <cell r="B472">
            <v>201.47719942192194</v>
          </cell>
        </row>
        <row r="473">
          <cell r="A473">
            <v>44057</v>
          </cell>
          <cell r="B473">
            <v>196.4493087765029</v>
          </cell>
        </row>
        <row r="474">
          <cell r="A474">
            <v>44060</v>
          </cell>
          <cell r="B474">
            <v>198.72615286165663</v>
          </cell>
        </row>
        <row r="475">
          <cell r="A475">
            <v>44061</v>
          </cell>
          <cell r="B475">
            <v>198.55198551985521</v>
          </cell>
        </row>
        <row r="476">
          <cell r="A476">
            <v>44062</v>
          </cell>
          <cell r="B476">
            <v>198.45099225496128</v>
          </cell>
        </row>
        <row r="477">
          <cell r="A477">
            <v>44063</v>
          </cell>
          <cell r="B477">
            <v>195.826240716256</v>
          </cell>
        </row>
        <row r="478">
          <cell r="A478">
            <v>44064</v>
          </cell>
          <cell r="B478">
            <v>196.7899637118507</v>
          </cell>
        </row>
        <row r="479">
          <cell r="A479">
            <v>44067</v>
          </cell>
          <cell r="B479">
            <v>196.70098350491753</v>
          </cell>
        </row>
        <row r="480">
          <cell r="A480">
            <v>44068</v>
          </cell>
          <cell r="B480">
            <v>195.4128972512186</v>
          </cell>
        </row>
        <row r="481">
          <cell r="A481">
            <v>44069</v>
          </cell>
          <cell r="B481">
            <v>194.9544839531309</v>
          </cell>
        </row>
        <row r="482">
          <cell r="A482">
            <v>44070</v>
          </cell>
          <cell r="B482">
            <v>194.25699325175708</v>
          </cell>
        </row>
        <row r="483">
          <cell r="A483">
            <v>44071</v>
          </cell>
          <cell r="B483">
            <v>195.53689902776514</v>
          </cell>
        </row>
        <row r="484">
          <cell r="A484">
            <v>44074</v>
          </cell>
          <cell r="B484">
            <v>191.1435807364079</v>
          </cell>
        </row>
        <row r="485">
          <cell r="A485">
            <v>44075</v>
          </cell>
          <cell r="B485">
            <v>190.20893982017154</v>
          </cell>
        </row>
        <row r="486">
          <cell r="A486">
            <v>44076</v>
          </cell>
          <cell r="B486">
            <v>191.33851968881868</v>
          </cell>
        </row>
        <row r="487">
          <cell r="A487">
            <v>44077</v>
          </cell>
          <cell r="B487">
            <v>191.59750923237996</v>
          </cell>
        </row>
        <row r="488">
          <cell r="A488">
            <v>44078</v>
          </cell>
          <cell r="B488">
            <v>186.74780743870431</v>
          </cell>
        </row>
        <row r="489">
          <cell r="A489">
            <v>44081</v>
          </cell>
          <cell r="B489">
            <v>189.0756092464072</v>
          </cell>
        </row>
        <row r="490">
          <cell r="A490">
            <v>44082</v>
          </cell>
          <cell r="B490">
            <v>188.15940797039852</v>
          </cell>
        </row>
        <row r="491">
          <cell r="A491">
            <v>44083</v>
          </cell>
          <cell r="B491">
            <v>183.84246761001793</v>
          </cell>
        </row>
        <row r="492">
          <cell r="A492">
            <v>44084</v>
          </cell>
          <cell r="B492">
            <v>184.88890666560008</v>
          </cell>
        </row>
        <row r="493">
          <cell r="A493">
            <v>44085</v>
          </cell>
          <cell r="B493">
            <v>183.95938192847834</v>
          </cell>
        </row>
        <row r="494">
          <cell r="A494">
            <v>44088</v>
          </cell>
          <cell r="B494">
            <v>183.35605074967472</v>
          </cell>
        </row>
        <row r="495">
          <cell r="A495">
            <v>44089</v>
          </cell>
          <cell r="B495">
            <v>181.81545431361667</v>
          </cell>
        </row>
        <row r="496">
          <cell r="A496">
            <v>44090</v>
          </cell>
          <cell r="B496">
            <v>180.66138166704505</v>
          </cell>
        </row>
        <row r="497">
          <cell r="A497">
            <v>44091</v>
          </cell>
          <cell r="B497">
            <v>178.62018408080112</v>
          </cell>
        </row>
        <row r="498">
          <cell r="A498">
            <v>44092</v>
          </cell>
          <cell r="B498">
            <v>179.09498534041049</v>
          </cell>
        </row>
        <row r="499">
          <cell r="A499">
            <v>44095</v>
          </cell>
          <cell r="B499">
            <v>175.78287139695124</v>
          </cell>
        </row>
        <row r="500">
          <cell r="A500">
            <v>44096</v>
          </cell>
          <cell r="B500">
            <v>174.21533094912351</v>
          </cell>
        </row>
        <row r="501">
          <cell r="A501">
            <v>44097</v>
          </cell>
          <cell r="B501">
            <v>172.51690665685237</v>
          </cell>
        </row>
        <row r="502">
          <cell r="A502">
            <v>44098</v>
          </cell>
          <cell r="B502">
            <v>166.60747958045528</v>
          </cell>
        </row>
        <row r="503">
          <cell r="A503">
            <v>44099</v>
          </cell>
          <cell r="B503">
            <v>170.70698184057619</v>
          </cell>
        </row>
        <row r="504">
          <cell r="A504">
            <v>44102</v>
          </cell>
          <cell r="B504">
            <v>173.27418214686014</v>
          </cell>
        </row>
        <row r="505">
          <cell r="A505">
            <v>44103</v>
          </cell>
          <cell r="B505">
            <v>169.43812357780502</v>
          </cell>
        </row>
        <row r="506">
          <cell r="A506">
            <v>44104</v>
          </cell>
          <cell r="B506">
            <v>171.67665197533137</v>
          </cell>
        </row>
        <row r="507">
          <cell r="A507">
            <v>44105</v>
          </cell>
          <cell r="B507">
            <v>170.85854292714635</v>
          </cell>
        </row>
        <row r="508">
          <cell r="A508">
            <v>44109</v>
          </cell>
          <cell r="B508">
            <v>169.26591099563359</v>
          </cell>
        </row>
        <row r="509">
          <cell r="A509">
            <v>44110</v>
          </cell>
          <cell r="B509">
            <v>169.89354404532628</v>
          </cell>
        </row>
        <row r="510">
          <cell r="A510">
            <v>44111</v>
          </cell>
          <cell r="B510">
            <v>169.50406809763436</v>
          </cell>
        </row>
        <row r="511">
          <cell r="A511">
            <v>44112</v>
          </cell>
          <cell r="B511">
            <v>167.17323707995411</v>
          </cell>
        </row>
        <row r="512">
          <cell r="A512">
            <v>44113</v>
          </cell>
          <cell r="B512">
            <v>167.84295059607496</v>
          </cell>
        </row>
        <row r="513">
          <cell r="A513">
            <v>44116</v>
          </cell>
          <cell r="B513">
            <v>172.15541174835715</v>
          </cell>
        </row>
        <row r="514">
          <cell r="A514">
            <v>44117</v>
          </cell>
          <cell r="B514">
            <v>170.17025025978091</v>
          </cell>
        </row>
        <row r="515">
          <cell r="A515">
            <v>44118</v>
          </cell>
          <cell r="B515">
            <v>167.82315959602425</v>
          </cell>
        </row>
        <row r="516">
          <cell r="A516">
            <v>44119</v>
          </cell>
          <cell r="B516">
            <v>165.07707263991296</v>
          </cell>
        </row>
        <row r="517">
          <cell r="A517">
            <v>44120</v>
          </cell>
          <cell r="B517">
            <v>165.69353795201988</v>
          </cell>
        </row>
        <row r="518">
          <cell r="A518">
            <v>44123</v>
          </cell>
          <cell r="B518">
            <v>168.22409348960261</v>
          </cell>
        </row>
        <row r="519">
          <cell r="A519">
            <v>44124</v>
          </cell>
          <cell r="B519">
            <v>167.45803798582332</v>
          </cell>
        </row>
        <row r="520">
          <cell r="A520">
            <v>44125</v>
          </cell>
          <cell r="B520">
            <v>167.64798822414133</v>
          </cell>
        </row>
        <row r="521">
          <cell r="A521">
            <v>44126</v>
          </cell>
          <cell r="B521">
            <v>168.54089879146528</v>
          </cell>
        </row>
        <row r="522">
          <cell r="A522">
            <v>44127</v>
          </cell>
          <cell r="B522">
            <v>170.72763467985692</v>
          </cell>
        </row>
        <row r="523">
          <cell r="A523">
            <v>44130</v>
          </cell>
          <cell r="B523">
            <v>168.57174575520244</v>
          </cell>
        </row>
        <row r="524">
          <cell r="A524">
            <v>44131</v>
          </cell>
          <cell r="B524">
            <v>167.21337707016559</v>
          </cell>
        </row>
        <row r="525">
          <cell r="A525">
            <v>44132</v>
          </cell>
          <cell r="B525">
            <v>165.51688272203765</v>
          </cell>
        </row>
        <row r="526">
          <cell r="A526">
            <v>44133</v>
          </cell>
          <cell r="B526">
            <v>163.86638663866387</v>
          </cell>
        </row>
        <row r="527">
          <cell r="A527">
            <v>44134</v>
          </cell>
          <cell r="B527">
            <v>165.2359549438298</v>
          </cell>
        </row>
        <row r="528">
          <cell r="A528">
            <v>44137</v>
          </cell>
          <cell r="B528">
            <v>166.73482713073111</v>
          </cell>
        </row>
        <row r="529">
          <cell r="A529">
            <v>44138</v>
          </cell>
          <cell r="B529">
            <v>170.06581677082909</v>
          </cell>
        </row>
        <row r="530">
          <cell r="A530">
            <v>44139</v>
          </cell>
          <cell r="B530">
            <v>169.80305645501619</v>
          </cell>
        </row>
        <row r="531">
          <cell r="A531">
            <v>44140</v>
          </cell>
          <cell r="B531">
            <v>174.69898789553451</v>
          </cell>
        </row>
        <row r="532">
          <cell r="A532">
            <v>44141</v>
          </cell>
          <cell r="B532">
            <v>173.95800206809511</v>
          </cell>
        </row>
        <row r="533">
          <cell r="A533">
            <v>44144</v>
          </cell>
          <cell r="B533">
            <v>172.8114055527665</v>
          </cell>
        </row>
        <row r="534">
          <cell r="A534">
            <v>44145</v>
          </cell>
          <cell r="B534">
            <v>178.29276802146509</v>
          </cell>
        </row>
        <row r="535">
          <cell r="A535">
            <v>44146</v>
          </cell>
          <cell r="B535">
            <v>185.22776117314251</v>
          </cell>
        </row>
        <row r="536">
          <cell r="A536">
            <v>44147</v>
          </cell>
          <cell r="B536">
            <v>187.972556006823</v>
          </cell>
        </row>
        <row r="537">
          <cell r="A537">
            <v>44148</v>
          </cell>
          <cell r="B537">
            <v>187.10898123109911</v>
          </cell>
        </row>
        <row r="538">
          <cell r="A538">
            <v>44149</v>
          </cell>
          <cell r="B538">
            <v>188.58491320694341</v>
          </cell>
        </row>
        <row r="539">
          <cell r="A539">
            <v>44152</v>
          </cell>
          <cell r="B539">
            <v>187.36236591615045</v>
          </cell>
        </row>
        <row r="540">
          <cell r="A540">
            <v>44153</v>
          </cell>
          <cell r="B540">
            <v>184.08239850213639</v>
          </cell>
        </row>
        <row r="541">
          <cell r="A541">
            <v>44154</v>
          </cell>
          <cell r="B541">
            <v>187.86073710594488</v>
          </cell>
        </row>
        <row r="542">
          <cell r="A542">
            <v>44155</v>
          </cell>
          <cell r="B542">
            <v>191.66128442054702</v>
          </cell>
        </row>
        <row r="543">
          <cell r="A543">
            <v>44158</v>
          </cell>
          <cell r="B543">
            <v>190.85839776950186</v>
          </cell>
        </row>
        <row r="544">
          <cell r="A544">
            <v>44159</v>
          </cell>
          <cell r="B544">
            <v>195.50190653099338</v>
          </cell>
        </row>
        <row r="545">
          <cell r="A545">
            <v>44160</v>
          </cell>
          <cell r="B545">
            <v>193.8668664173783</v>
          </cell>
        </row>
        <row r="546">
          <cell r="A546">
            <v>44161</v>
          </cell>
          <cell r="B546">
            <v>194.7904552676919</v>
          </cell>
        </row>
        <row r="547">
          <cell r="A547">
            <v>44162</v>
          </cell>
          <cell r="B547">
            <v>193.66142602413544</v>
          </cell>
        </row>
        <row r="548">
          <cell r="A548">
            <v>44166</v>
          </cell>
          <cell r="B548">
            <v>194.3924186956709</v>
          </cell>
        </row>
        <row r="549">
          <cell r="A549">
            <v>44167</v>
          </cell>
          <cell r="B549">
            <v>195.93432525397967</v>
          </cell>
        </row>
        <row r="550">
          <cell r="A550">
            <v>44168</v>
          </cell>
          <cell r="B550">
            <v>196.19744943315735</v>
          </cell>
        </row>
        <row r="551">
          <cell r="A551">
            <v>44169</v>
          </cell>
          <cell r="B551">
            <v>198.17978566186247</v>
          </cell>
        </row>
        <row r="552">
          <cell r="A552">
            <v>44172</v>
          </cell>
          <cell r="B552">
            <v>203.09922519370156</v>
          </cell>
        </row>
        <row r="553">
          <cell r="A553">
            <v>44173</v>
          </cell>
          <cell r="B553">
            <v>202.45688353404014</v>
          </cell>
        </row>
        <row r="554">
          <cell r="A554">
            <v>44174</v>
          </cell>
          <cell r="B554">
            <v>205.37001597766726</v>
          </cell>
        </row>
        <row r="555">
          <cell r="A555">
            <v>44175</v>
          </cell>
          <cell r="B555">
            <v>212.62451829600488</v>
          </cell>
        </row>
        <row r="556">
          <cell r="A556">
            <v>44176</v>
          </cell>
          <cell r="B556">
            <v>216.26345147670042</v>
          </cell>
        </row>
        <row r="557">
          <cell r="A557">
            <v>44179</v>
          </cell>
          <cell r="B557">
            <v>215.90388626995286</v>
          </cell>
        </row>
        <row r="558">
          <cell r="A558">
            <v>44180</v>
          </cell>
          <cell r="B558">
            <v>213.57327948746416</v>
          </cell>
        </row>
        <row r="559">
          <cell r="A559">
            <v>44181</v>
          </cell>
          <cell r="B559">
            <v>213.99550609437202</v>
          </cell>
        </row>
        <row r="560">
          <cell r="A560">
            <v>44182</v>
          </cell>
          <cell r="B560">
            <v>213.05937461248297</v>
          </cell>
        </row>
        <row r="561">
          <cell r="A561">
            <v>44183</v>
          </cell>
          <cell r="B561">
            <v>214.48541499178057</v>
          </cell>
        </row>
        <row r="562">
          <cell r="A562">
            <v>44186</v>
          </cell>
          <cell r="B562">
            <v>203.05924587428035</v>
          </cell>
        </row>
        <row r="563">
          <cell r="A563">
            <v>44187</v>
          </cell>
          <cell r="B563">
            <v>203.39552529844346</v>
          </cell>
        </row>
        <row r="564">
          <cell r="A564">
            <v>44188</v>
          </cell>
          <cell r="B564">
            <v>207.70555101208342</v>
          </cell>
        </row>
        <row r="565">
          <cell r="A565">
            <v>44189</v>
          </cell>
          <cell r="B565">
            <v>208.59144775064223</v>
          </cell>
        </row>
        <row r="566">
          <cell r="A566">
            <v>44193</v>
          </cell>
          <cell r="B566">
            <v>209.49099188734886</v>
          </cell>
        </row>
        <row r="567">
          <cell r="A567">
            <v>44194</v>
          </cell>
          <cell r="B567">
            <v>211.52927013152714</v>
          </cell>
        </row>
        <row r="568">
          <cell r="A568">
            <v>44195</v>
          </cell>
          <cell r="B568">
            <v>211.15401192622662</v>
          </cell>
        </row>
        <row r="569">
          <cell r="A569">
            <v>44196</v>
          </cell>
          <cell r="B569">
            <v>209.02132017465783</v>
          </cell>
        </row>
        <row r="570">
          <cell r="A570">
            <v>44197</v>
          </cell>
          <cell r="B570">
            <v>213.80039830759264</v>
          </cell>
        </row>
        <row r="571">
          <cell r="A571">
            <v>44200</v>
          </cell>
          <cell r="B571">
            <v>213.40448149411139</v>
          </cell>
        </row>
        <row r="572">
          <cell r="A572">
            <v>44201</v>
          </cell>
          <cell r="B572">
            <v>211.46924370117679</v>
          </cell>
        </row>
        <row r="573">
          <cell r="A573">
            <v>44202</v>
          </cell>
          <cell r="B573">
            <v>205.45876120570483</v>
          </cell>
        </row>
        <row r="574">
          <cell r="A574">
            <v>44203</v>
          </cell>
          <cell r="B574">
            <v>202.82575887137668</v>
          </cell>
        </row>
        <row r="575">
          <cell r="A575">
            <v>44204</v>
          </cell>
          <cell r="B575">
            <v>201.51289682539681</v>
          </cell>
        </row>
        <row r="576">
          <cell r="A576">
            <v>44207</v>
          </cell>
          <cell r="B576">
            <v>202.48987550622468</v>
          </cell>
        </row>
        <row r="577">
          <cell r="A577">
            <v>44208</v>
          </cell>
          <cell r="B577">
            <v>206.40975009873074</v>
          </cell>
        </row>
        <row r="578">
          <cell r="A578">
            <v>44209</v>
          </cell>
          <cell r="B578">
            <v>211.20079021587972</v>
          </cell>
        </row>
        <row r="579">
          <cell r="A579">
            <v>44210</v>
          </cell>
          <cell r="B579">
            <v>214.12066546883077</v>
          </cell>
        </row>
        <row r="580">
          <cell r="A580">
            <v>44211</v>
          </cell>
          <cell r="B580">
            <v>217.81231846890489</v>
          </cell>
        </row>
        <row r="581">
          <cell r="A581">
            <v>44214</v>
          </cell>
          <cell r="B581">
            <v>219.73088341314306</v>
          </cell>
        </row>
        <row r="582">
          <cell r="A582">
            <v>44215</v>
          </cell>
          <cell r="B582">
            <v>218.85897321790191</v>
          </cell>
        </row>
        <row r="583">
          <cell r="A583">
            <v>44216</v>
          </cell>
          <cell r="B583">
            <v>217.66197140842746</v>
          </cell>
        </row>
        <row r="584">
          <cell r="A584">
            <v>44217</v>
          </cell>
          <cell r="B584">
            <v>213.73868670229311</v>
          </cell>
        </row>
        <row r="585">
          <cell r="A585">
            <v>44218</v>
          </cell>
          <cell r="B585">
            <v>210.72950213029824</v>
          </cell>
        </row>
        <row r="586">
          <cell r="A586">
            <v>44221</v>
          </cell>
          <cell r="B586">
            <v>207.8286803578894</v>
          </cell>
        </row>
        <row r="587">
          <cell r="A587">
            <v>44223</v>
          </cell>
          <cell r="B587">
            <v>210.62114490314826</v>
          </cell>
        </row>
        <row r="588">
          <cell r="A588">
            <v>44224</v>
          </cell>
          <cell r="B588">
            <v>206.63967481756495</v>
          </cell>
        </row>
        <row r="589">
          <cell r="A589">
            <v>44225</v>
          </cell>
          <cell r="B589">
            <v>203.28293183495725</v>
          </cell>
        </row>
        <row r="590">
          <cell r="A590">
            <v>44228</v>
          </cell>
          <cell r="B590">
            <v>215.81511555277947</v>
          </cell>
        </row>
        <row r="591">
          <cell r="A591">
            <v>44229</v>
          </cell>
          <cell r="B591">
            <v>218.17730955980574</v>
          </cell>
        </row>
        <row r="592">
          <cell r="A592">
            <v>44230</v>
          </cell>
          <cell r="B592">
            <v>216.76430644422533</v>
          </cell>
        </row>
        <row r="593">
          <cell r="A593">
            <v>44231</v>
          </cell>
          <cell r="B593">
            <v>229.81004568217952</v>
          </cell>
        </row>
        <row r="594">
          <cell r="A594">
            <v>44232</v>
          </cell>
          <cell r="B594">
            <v>234.30524769768974</v>
          </cell>
        </row>
        <row r="595">
          <cell r="A595">
            <v>44235</v>
          </cell>
          <cell r="B595">
            <v>233.11235495481259</v>
          </cell>
        </row>
        <row r="596">
          <cell r="A596">
            <v>44236</v>
          </cell>
          <cell r="B596">
            <v>229.04031109475267</v>
          </cell>
        </row>
        <row r="597">
          <cell r="A597">
            <v>44237</v>
          </cell>
          <cell r="B597">
            <v>227.56433655320288</v>
          </cell>
        </row>
        <row r="598">
          <cell r="A598">
            <v>44238</v>
          </cell>
          <cell r="B598">
            <v>226.46087012176585</v>
          </cell>
        </row>
        <row r="599">
          <cell r="A599">
            <v>44239</v>
          </cell>
          <cell r="B599">
            <v>217.53636193568846</v>
          </cell>
        </row>
        <row r="600">
          <cell r="A600">
            <v>44242</v>
          </cell>
          <cell r="B600">
            <v>218.58841481401484</v>
          </cell>
        </row>
        <row r="601">
          <cell r="A601">
            <v>44243</v>
          </cell>
          <cell r="B601">
            <v>218.2534920558729</v>
          </cell>
        </row>
        <row r="602">
          <cell r="A602">
            <v>44244</v>
          </cell>
          <cell r="B602">
            <v>217.7550083651924</v>
          </cell>
        </row>
        <row r="603">
          <cell r="A603">
            <v>44245</v>
          </cell>
          <cell r="B603">
            <v>218.8388392191998</v>
          </cell>
        </row>
        <row r="604">
          <cell r="A604">
            <v>44246</v>
          </cell>
          <cell r="B604">
            <v>215.97872517044766</v>
          </cell>
        </row>
        <row r="605">
          <cell r="A605">
            <v>44249</v>
          </cell>
          <cell r="B605">
            <v>207.13533975998112</v>
          </cell>
        </row>
        <row r="606">
          <cell r="A606">
            <v>44250</v>
          </cell>
          <cell r="B606">
            <v>208.48540602157848</v>
          </cell>
        </row>
        <row r="607">
          <cell r="A607">
            <v>44251</v>
          </cell>
          <cell r="B607">
            <v>208.84644961035664</v>
          </cell>
        </row>
        <row r="608">
          <cell r="A608">
            <v>44252</v>
          </cell>
          <cell r="B608">
            <v>209.14707194099284</v>
          </cell>
        </row>
        <row r="609">
          <cell r="A609">
            <v>44253</v>
          </cell>
          <cell r="B609">
            <v>203.90158710153668</v>
          </cell>
        </row>
        <row r="610">
          <cell r="A610">
            <v>44256</v>
          </cell>
          <cell r="B610">
            <v>206.86896965455179</v>
          </cell>
        </row>
        <row r="611">
          <cell r="A611">
            <v>44257</v>
          </cell>
          <cell r="B611">
            <v>209.86956891250767</v>
          </cell>
        </row>
        <row r="612">
          <cell r="A612">
            <v>44258</v>
          </cell>
          <cell r="B612">
            <v>209.94958010083977</v>
          </cell>
        </row>
        <row r="613">
          <cell r="A613">
            <v>44259</v>
          </cell>
          <cell r="B613">
            <v>209.70251643019716</v>
          </cell>
        </row>
        <row r="614">
          <cell r="A614">
            <v>44260</v>
          </cell>
          <cell r="B614">
            <v>208.56147088089847</v>
          </cell>
        </row>
        <row r="615">
          <cell r="A615">
            <v>44263</v>
          </cell>
          <cell r="B615">
            <v>208.00540814061165</v>
          </cell>
        </row>
        <row r="616">
          <cell r="A616">
            <v>44264</v>
          </cell>
          <cell r="B616">
            <v>207.80207802078021</v>
          </cell>
        </row>
        <row r="617">
          <cell r="A617">
            <v>44265</v>
          </cell>
          <cell r="B617">
            <v>206.51301031965014</v>
          </cell>
        </row>
        <row r="618">
          <cell r="A618">
            <v>44267</v>
          </cell>
          <cell r="B618">
            <v>205.21292841449011</v>
          </cell>
        </row>
        <row r="619">
          <cell r="A619">
            <v>44270</v>
          </cell>
          <cell r="B619">
            <v>205.44753462958445</v>
          </cell>
        </row>
        <row r="620">
          <cell r="A620">
            <v>44271</v>
          </cell>
          <cell r="B620">
            <v>207.82568439492582</v>
          </cell>
        </row>
        <row r="621">
          <cell r="A621">
            <v>44272</v>
          </cell>
          <cell r="B621">
            <v>210.57220446901007</v>
          </cell>
        </row>
        <row r="622">
          <cell r="A622">
            <v>44273</v>
          </cell>
          <cell r="B622">
            <v>217.57711166759137</v>
          </cell>
        </row>
        <row r="623">
          <cell r="A623">
            <v>44274</v>
          </cell>
          <cell r="B623">
            <v>222.89561347031326</v>
          </cell>
        </row>
        <row r="624">
          <cell r="A624">
            <v>44277</v>
          </cell>
          <cell r="B624">
            <v>225.96904224121295</v>
          </cell>
        </row>
        <row r="625">
          <cell r="A625">
            <v>44278</v>
          </cell>
          <cell r="B625">
            <v>222.23733587242654</v>
          </cell>
        </row>
        <row r="626">
          <cell r="A626">
            <v>44279</v>
          </cell>
          <cell r="B626">
            <v>216.01069900642079</v>
          </cell>
        </row>
        <row r="627">
          <cell r="A627">
            <v>44280</v>
          </cell>
          <cell r="B627">
            <v>211.64254015057026</v>
          </cell>
        </row>
        <row r="628">
          <cell r="A628">
            <v>44281</v>
          </cell>
          <cell r="B628">
            <v>210.90695992967767</v>
          </cell>
        </row>
        <row r="629">
          <cell r="A629">
            <v>44285</v>
          </cell>
          <cell r="B629">
            <v>214.51288927015628</v>
          </cell>
        </row>
        <row r="630">
          <cell r="A630">
            <v>44286</v>
          </cell>
          <cell r="B630">
            <v>218.45980339617512</v>
          </cell>
        </row>
        <row r="631">
          <cell r="A631">
            <v>44287</v>
          </cell>
          <cell r="B631">
            <v>220.03437755919333</v>
          </cell>
        </row>
        <row r="632">
          <cell r="A632">
            <v>44291</v>
          </cell>
          <cell r="B632">
            <v>212.62250427395745</v>
          </cell>
        </row>
        <row r="633">
          <cell r="A633">
            <v>44292</v>
          </cell>
          <cell r="B633">
            <v>212.64893675531621</v>
          </cell>
        </row>
        <row r="634">
          <cell r="A634">
            <v>44293</v>
          </cell>
          <cell r="B634">
            <v>213.78845542340716</v>
          </cell>
        </row>
        <row r="635">
          <cell r="A635">
            <v>44294</v>
          </cell>
          <cell r="B635">
            <v>213.25554464416075</v>
          </cell>
        </row>
        <row r="636">
          <cell r="A636">
            <v>44295</v>
          </cell>
          <cell r="B636">
            <v>213.10149171044196</v>
          </cell>
        </row>
        <row r="637">
          <cell r="A637">
            <v>44298</v>
          </cell>
          <cell r="B637">
            <v>205.37516731123591</v>
          </cell>
        </row>
        <row r="638">
          <cell r="A638">
            <v>44299</v>
          </cell>
          <cell r="B638">
            <v>208.66536154998266</v>
          </cell>
        </row>
        <row r="639">
          <cell r="A639">
            <v>44301</v>
          </cell>
          <cell r="B639">
            <v>206.71984510513008</v>
          </cell>
        </row>
        <row r="640">
          <cell r="A640">
            <v>44302</v>
          </cell>
          <cell r="B640">
            <v>207.93752374857507</v>
          </cell>
        </row>
        <row r="641">
          <cell r="A641">
            <v>44305</v>
          </cell>
          <cell r="B641">
            <v>205.6232354256031</v>
          </cell>
        </row>
        <row r="642">
          <cell r="A642">
            <v>44306</v>
          </cell>
          <cell r="B642">
            <v>203.57035703570358</v>
          </cell>
        </row>
        <row r="643">
          <cell r="A643">
            <v>44308</v>
          </cell>
          <cell r="B643">
            <v>205.87632422271437</v>
          </cell>
        </row>
        <row r="644">
          <cell r="A644">
            <v>44309</v>
          </cell>
          <cell r="B644">
            <v>205.35554459970419</v>
          </cell>
        </row>
        <row r="645">
          <cell r="A645">
            <v>44312</v>
          </cell>
          <cell r="B645">
            <v>205.30041060082121</v>
          </cell>
        </row>
        <row r="646">
          <cell r="A646">
            <v>44313</v>
          </cell>
          <cell r="B646">
            <v>205.39897300513496</v>
          </cell>
        </row>
        <row r="647">
          <cell r="A647">
            <v>44314</v>
          </cell>
          <cell r="B647">
            <v>205.49897250513746</v>
          </cell>
        </row>
        <row r="648">
          <cell r="A648">
            <v>44315</v>
          </cell>
          <cell r="B648">
            <v>204.31185008730509</v>
          </cell>
        </row>
        <row r="649">
          <cell r="A649">
            <v>44316</v>
          </cell>
          <cell r="B649">
            <v>202.61681719582725</v>
          </cell>
        </row>
        <row r="650">
          <cell r="A650">
            <v>44319</v>
          </cell>
          <cell r="B650">
            <v>200.96627826853975</v>
          </cell>
        </row>
        <row r="651">
          <cell r="A651">
            <v>44320</v>
          </cell>
          <cell r="B651">
            <v>199.61337409606443</v>
          </cell>
        </row>
        <row r="652">
          <cell r="A652">
            <v>44321</v>
          </cell>
          <cell r="B652">
            <v>201.38187563119322</v>
          </cell>
        </row>
        <row r="653">
          <cell r="A653">
            <v>44322</v>
          </cell>
          <cell r="B653">
            <v>202.73641666008376</v>
          </cell>
        </row>
        <row r="654">
          <cell r="A654">
            <v>44323</v>
          </cell>
          <cell r="B654">
            <v>205.32371856402381</v>
          </cell>
        </row>
        <row r="655">
          <cell r="A655">
            <v>44326</v>
          </cell>
          <cell r="B655">
            <v>205.54794452055478</v>
          </cell>
        </row>
        <row r="656">
          <cell r="A656">
            <v>44327</v>
          </cell>
          <cell r="B656">
            <v>204.01530114758609</v>
          </cell>
        </row>
        <row r="657">
          <cell r="A657">
            <v>44328</v>
          </cell>
          <cell r="B657">
            <v>203.25752052825953</v>
          </cell>
        </row>
        <row r="658">
          <cell r="A658">
            <v>44330</v>
          </cell>
          <cell r="B658">
            <v>212.15601488540577</v>
          </cell>
        </row>
        <row r="659">
          <cell r="A659">
            <v>44333</v>
          </cell>
          <cell r="B659">
            <v>212.59659845442471</v>
          </cell>
        </row>
        <row r="660">
          <cell r="A660">
            <v>44334</v>
          </cell>
          <cell r="B660">
            <v>210.07520902508301</v>
          </cell>
        </row>
        <row r="661">
          <cell r="A661">
            <v>44335</v>
          </cell>
          <cell r="B661">
            <v>207.77264721854684</v>
          </cell>
        </row>
        <row r="662">
          <cell r="A662">
            <v>44336</v>
          </cell>
          <cell r="B662">
            <v>207.00745226828167</v>
          </cell>
        </row>
        <row r="663">
          <cell r="A663">
            <v>44337</v>
          </cell>
          <cell r="B663">
            <v>209.02930609869622</v>
          </cell>
        </row>
        <row r="664">
          <cell r="A664">
            <v>44340</v>
          </cell>
          <cell r="B664">
            <v>211.47525739488481</v>
          </cell>
        </row>
        <row r="665">
          <cell r="A665">
            <v>44341</v>
          </cell>
          <cell r="B665">
            <v>210.90590536535024</v>
          </cell>
        </row>
        <row r="666">
          <cell r="A666">
            <v>44342</v>
          </cell>
          <cell r="B666">
            <v>210.60294844127816</v>
          </cell>
        </row>
        <row r="667">
          <cell r="A667">
            <v>44343</v>
          </cell>
          <cell r="B667">
            <v>211.14451024273367</v>
          </cell>
        </row>
        <row r="668">
          <cell r="A668">
            <v>44344</v>
          </cell>
          <cell r="B668">
            <v>212.88233076654637</v>
          </cell>
        </row>
        <row r="669">
          <cell r="A669">
            <v>44347</v>
          </cell>
          <cell r="B669">
            <v>216.56231815664077</v>
          </cell>
        </row>
        <row r="670">
          <cell r="A670">
            <v>44348</v>
          </cell>
          <cell r="B670">
            <v>215.26334632747231</v>
          </cell>
        </row>
        <row r="671">
          <cell r="A671">
            <v>44349</v>
          </cell>
          <cell r="B671">
            <v>209.06062758199877</v>
          </cell>
        </row>
        <row r="672">
          <cell r="A672">
            <v>44350</v>
          </cell>
          <cell r="B672">
            <v>209.04958190083619</v>
          </cell>
        </row>
        <row r="673">
          <cell r="A673">
            <v>44351</v>
          </cell>
          <cell r="B673">
            <v>208.75292254091556</v>
          </cell>
        </row>
        <row r="674">
          <cell r="A674">
            <v>44354</v>
          </cell>
          <cell r="B674">
            <v>211.42272646828556</v>
          </cell>
        </row>
        <row r="675">
          <cell r="A675">
            <v>44355</v>
          </cell>
          <cell r="B675">
            <v>213.62778271059807</v>
          </cell>
        </row>
        <row r="676">
          <cell r="A676">
            <v>44356</v>
          </cell>
          <cell r="B676">
            <v>212.51147561968347</v>
          </cell>
        </row>
        <row r="677">
          <cell r="A677">
            <v>44357</v>
          </cell>
          <cell r="B677">
            <v>209.33160907297002</v>
          </cell>
        </row>
        <row r="678">
          <cell r="A678">
            <v>44358</v>
          </cell>
          <cell r="B678">
            <v>207.91393023332566</v>
          </cell>
        </row>
        <row r="679">
          <cell r="A679">
            <v>44361</v>
          </cell>
          <cell r="B679">
            <v>207.30601187434436</v>
          </cell>
        </row>
        <row r="680">
          <cell r="A680">
            <v>44362</v>
          </cell>
          <cell r="B680">
            <v>207.05248462981558</v>
          </cell>
        </row>
        <row r="681">
          <cell r="A681">
            <v>44363</v>
          </cell>
          <cell r="B681">
            <v>207.84189416612753</v>
          </cell>
        </row>
        <row r="682">
          <cell r="A682">
            <v>44364</v>
          </cell>
          <cell r="B682">
            <v>205.67180121092838</v>
          </cell>
        </row>
        <row r="683">
          <cell r="A683">
            <v>44365</v>
          </cell>
          <cell r="B683">
            <v>204.56084172461141</v>
          </cell>
        </row>
        <row r="684">
          <cell r="A684">
            <v>44368</v>
          </cell>
          <cell r="B684">
            <v>204.45102225511127</v>
          </cell>
        </row>
        <row r="685">
          <cell r="A685">
            <v>44369</v>
          </cell>
          <cell r="B685">
            <v>205.09343701001566</v>
          </cell>
        </row>
        <row r="686">
          <cell r="A686">
            <v>44370</v>
          </cell>
          <cell r="B686">
            <v>203.961421839623</v>
          </cell>
        </row>
        <row r="687">
          <cell r="A687">
            <v>44371</v>
          </cell>
          <cell r="B687">
            <v>203.25691073496498</v>
          </cell>
        </row>
        <row r="688">
          <cell r="A688">
            <v>44372</v>
          </cell>
          <cell r="B688">
            <v>205.03175217405652</v>
          </cell>
        </row>
        <row r="689">
          <cell r="A689">
            <v>44375</v>
          </cell>
          <cell r="B689">
            <v>203.61445662642049</v>
          </cell>
        </row>
        <row r="690">
          <cell r="A690">
            <v>44376</v>
          </cell>
          <cell r="B690">
            <v>203.30304954574319</v>
          </cell>
        </row>
        <row r="691">
          <cell r="A691">
            <v>44377</v>
          </cell>
          <cell r="B691">
            <v>202.70608118243547</v>
          </cell>
        </row>
        <row r="692">
          <cell r="A692">
            <v>44378</v>
          </cell>
          <cell r="B692">
            <v>202.9969550456743</v>
          </cell>
        </row>
        <row r="693">
          <cell r="A693">
            <v>44379</v>
          </cell>
          <cell r="B693">
            <v>202.40607218216547</v>
          </cell>
        </row>
        <row r="694">
          <cell r="A694">
            <v>44382</v>
          </cell>
          <cell r="B694">
            <v>203.63737448278206</v>
          </cell>
        </row>
        <row r="695">
          <cell r="A695">
            <v>44383</v>
          </cell>
          <cell r="B695">
            <v>202.51134063507556</v>
          </cell>
        </row>
        <row r="696">
          <cell r="A696">
            <v>44384</v>
          </cell>
          <cell r="B696">
            <v>203.73736828316643</v>
          </cell>
        </row>
        <row r="697">
          <cell r="A697">
            <v>44385</v>
          </cell>
          <cell r="B697">
            <v>202.01737349412051</v>
          </cell>
        </row>
        <row r="698">
          <cell r="A698">
            <v>44386</v>
          </cell>
          <cell r="B698">
            <v>201.35644340618899</v>
          </cell>
        </row>
        <row r="699">
          <cell r="A699">
            <v>44389</v>
          </cell>
          <cell r="B699">
            <v>201.10241322895874</v>
          </cell>
        </row>
        <row r="700">
          <cell r="A700">
            <v>44390</v>
          </cell>
          <cell r="B700">
            <v>201.84253182632241</v>
          </cell>
        </row>
        <row r="701">
          <cell r="A701">
            <v>44391</v>
          </cell>
          <cell r="B701">
            <v>204.07734741443699</v>
          </cell>
        </row>
        <row r="702">
          <cell r="A702">
            <v>44392</v>
          </cell>
          <cell r="B702">
            <v>206.22834602366751</v>
          </cell>
        </row>
        <row r="703">
          <cell r="A703">
            <v>44393</v>
          </cell>
          <cell r="B703">
            <v>207.88336933045355</v>
          </cell>
        </row>
        <row r="704">
          <cell r="A704">
            <v>44396</v>
          </cell>
          <cell r="B704">
            <v>207.75145426017983</v>
          </cell>
        </row>
        <row r="705">
          <cell r="A705">
            <v>44397</v>
          </cell>
          <cell r="B705">
            <v>206.80951323760894</v>
          </cell>
        </row>
        <row r="706">
          <cell r="A706">
            <v>44399</v>
          </cell>
          <cell r="B706">
            <v>206.99793002069978</v>
          </cell>
        </row>
        <row r="707">
          <cell r="A707">
            <v>44400</v>
          </cell>
          <cell r="B707">
            <v>212.34457806512501</v>
          </cell>
        </row>
        <row r="708">
          <cell r="A708">
            <v>44403</v>
          </cell>
          <cell r="B708">
            <v>211.16245858505653</v>
          </cell>
        </row>
        <row r="709">
          <cell r="A709">
            <v>44404</v>
          </cell>
          <cell r="B709">
            <v>208.67462360558545</v>
          </cell>
        </row>
        <row r="710">
          <cell r="A710">
            <v>44405</v>
          </cell>
          <cell r="B710">
            <v>209.09539990120217</v>
          </cell>
        </row>
        <row r="711">
          <cell r="A711">
            <v>44406</v>
          </cell>
          <cell r="B711">
            <v>206.08008769280315</v>
          </cell>
        </row>
        <row r="712">
          <cell r="A712">
            <v>44407</v>
          </cell>
          <cell r="B712">
            <v>204.96086292573506</v>
          </cell>
        </row>
        <row r="713">
          <cell r="A713">
            <v>44410</v>
          </cell>
          <cell r="B713">
            <v>207.27616324122727</v>
          </cell>
        </row>
        <row r="714">
          <cell r="A714">
            <v>44411</v>
          </cell>
          <cell r="B714">
            <v>209.87376577927762</v>
          </cell>
        </row>
        <row r="715">
          <cell r="A715">
            <v>44412</v>
          </cell>
          <cell r="B715">
            <v>208.61293400190812</v>
          </cell>
        </row>
        <row r="716">
          <cell r="A716">
            <v>44413</v>
          </cell>
          <cell r="B716">
            <v>215.18135714707009</v>
          </cell>
        </row>
        <row r="717">
          <cell r="A717">
            <v>44414</v>
          </cell>
          <cell r="B717">
            <v>214.25985595337386</v>
          </cell>
        </row>
        <row r="718">
          <cell r="A718">
            <v>44417</v>
          </cell>
          <cell r="B718">
            <v>213.8044898942878</v>
          </cell>
        </row>
        <row r="719">
          <cell r="A719">
            <v>44418</v>
          </cell>
          <cell r="B719">
            <v>209.88882943344518</v>
          </cell>
        </row>
        <row r="720">
          <cell r="A720">
            <v>44419</v>
          </cell>
          <cell r="B720">
            <v>208.6618937279425</v>
          </cell>
        </row>
        <row r="721">
          <cell r="A721">
            <v>44420</v>
          </cell>
          <cell r="B721">
            <v>208.89749323008127</v>
          </cell>
        </row>
        <row r="722">
          <cell r="A722">
            <v>44421</v>
          </cell>
          <cell r="B722">
            <v>211.42420624683788</v>
          </cell>
        </row>
        <row r="723">
          <cell r="A723">
            <v>44424</v>
          </cell>
          <cell r="B723">
            <v>210.90548354257211</v>
          </cell>
        </row>
        <row r="724">
          <cell r="A724">
            <v>44425</v>
          </cell>
          <cell r="B724">
            <v>209.21694657267238</v>
          </cell>
        </row>
        <row r="725">
          <cell r="A725">
            <v>44426</v>
          </cell>
          <cell r="B725">
            <v>208.95250743008916</v>
          </cell>
        </row>
        <row r="726">
          <cell r="A726">
            <v>44428</v>
          </cell>
          <cell r="B726">
            <v>208.90041780083558</v>
          </cell>
        </row>
        <row r="727">
          <cell r="A727">
            <v>44431</v>
          </cell>
          <cell r="B727">
            <v>206.3255843724622</v>
          </cell>
        </row>
        <row r="728">
          <cell r="A728">
            <v>44432</v>
          </cell>
          <cell r="B728">
            <v>205.75555539999581</v>
          </cell>
        </row>
        <row r="729">
          <cell r="A729">
            <v>44433</v>
          </cell>
          <cell r="B729">
            <v>206.39339541134683</v>
          </cell>
        </row>
        <row r="730">
          <cell r="A730">
            <v>44434</v>
          </cell>
          <cell r="B730">
            <v>204.61780174875213</v>
          </cell>
        </row>
        <row r="731">
          <cell r="A731">
            <v>44435</v>
          </cell>
          <cell r="B731">
            <v>205.88682324331242</v>
          </cell>
        </row>
        <row r="732">
          <cell r="A732">
            <v>44438</v>
          </cell>
          <cell r="B732">
            <v>207.97878616381129</v>
          </cell>
        </row>
        <row r="733">
          <cell r="A733">
            <v>44439</v>
          </cell>
          <cell r="B733">
            <v>211.26640864102609</v>
          </cell>
        </row>
        <row r="734">
          <cell r="A734">
            <v>44440</v>
          </cell>
          <cell r="B734">
            <v>209.51780901376617</v>
          </cell>
        </row>
        <row r="735">
          <cell r="A735">
            <v>44441</v>
          </cell>
          <cell r="B735">
            <v>209.74748303020365</v>
          </cell>
        </row>
        <row r="736">
          <cell r="A736">
            <v>44442</v>
          </cell>
          <cell r="B736">
            <v>210.5913657540041</v>
          </cell>
        </row>
        <row r="737">
          <cell r="A737">
            <v>44445</v>
          </cell>
          <cell r="B737">
            <v>209.31297740459911</v>
          </cell>
        </row>
        <row r="738">
          <cell r="A738">
            <v>44446</v>
          </cell>
          <cell r="B738">
            <v>211.72522814830666</v>
          </cell>
        </row>
        <row r="739">
          <cell r="A739">
            <v>44447</v>
          </cell>
          <cell r="B739">
            <v>211.25507012168293</v>
          </cell>
        </row>
        <row r="740">
          <cell r="A740">
            <v>44448</v>
          </cell>
          <cell r="B740">
            <v>212.6359660262423</v>
          </cell>
        </row>
        <row r="741">
          <cell r="A741">
            <v>44452</v>
          </cell>
          <cell r="B741">
            <v>214.13479642945353</v>
          </cell>
        </row>
        <row r="742">
          <cell r="A742">
            <v>44453</v>
          </cell>
          <cell r="B742">
            <v>216.08033668936125</v>
          </cell>
        </row>
        <row r="743">
          <cell r="A743">
            <v>44454</v>
          </cell>
          <cell r="B743">
            <v>216.00108000540004</v>
          </cell>
        </row>
        <row r="744">
          <cell r="A744">
            <v>44455</v>
          </cell>
          <cell r="B744">
            <v>230.59250531886721</v>
          </cell>
        </row>
        <row r="745">
          <cell r="A745">
            <v>44456</v>
          </cell>
          <cell r="B745">
            <v>231.14607051680125</v>
          </cell>
        </row>
        <row r="746">
          <cell r="A746">
            <v>44459</v>
          </cell>
          <cell r="B746">
            <v>233.72382293183165</v>
          </cell>
        </row>
        <row r="747">
          <cell r="A747">
            <v>44460</v>
          </cell>
          <cell r="B747">
            <v>241.4198486102614</v>
          </cell>
        </row>
        <row r="748">
          <cell r="A748">
            <v>44461</v>
          </cell>
          <cell r="B748">
            <v>243.47979117733226</v>
          </cell>
        </row>
        <row r="749">
          <cell r="A749">
            <v>44462</v>
          </cell>
          <cell r="B749">
            <v>242.50994290765919</v>
          </cell>
        </row>
        <row r="750">
          <cell r="A750">
            <v>44463</v>
          </cell>
          <cell r="B750">
            <v>238.4898278012428</v>
          </cell>
        </row>
        <row r="751">
          <cell r="A751">
            <v>44466</v>
          </cell>
          <cell r="B751">
            <v>238.69761302386974</v>
          </cell>
        </row>
        <row r="752">
          <cell r="A752">
            <v>44467</v>
          </cell>
          <cell r="B752">
            <v>237.75951038041524</v>
          </cell>
        </row>
        <row r="753">
          <cell r="A753">
            <v>44468</v>
          </cell>
          <cell r="B753">
            <v>238.09642855357166</v>
          </cell>
        </row>
        <row r="754">
          <cell r="A754">
            <v>44469</v>
          </cell>
          <cell r="B754">
            <v>236.16936588800283</v>
          </cell>
        </row>
        <row r="755">
          <cell r="A755">
            <v>44470</v>
          </cell>
          <cell r="B755">
            <v>235.35800217207384</v>
          </cell>
        </row>
        <row r="756">
          <cell r="A756">
            <v>44473</v>
          </cell>
          <cell r="B756">
            <v>236.58746086457415</v>
          </cell>
        </row>
        <row r="757">
          <cell r="A757">
            <v>44474</v>
          </cell>
          <cell r="B757">
            <v>234.71877750220017</v>
          </cell>
        </row>
        <row r="758">
          <cell r="A758">
            <v>44475</v>
          </cell>
          <cell r="B758">
            <v>231.28399874781593</v>
          </cell>
        </row>
        <row r="759">
          <cell r="A759">
            <v>44476</v>
          </cell>
          <cell r="B759">
            <v>232.93276297553982</v>
          </cell>
        </row>
        <row r="760">
          <cell r="A760">
            <v>44477</v>
          </cell>
          <cell r="B760">
            <v>231.71251247567366</v>
          </cell>
        </row>
        <row r="761">
          <cell r="A761">
            <v>44480</v>
          </cell>
          <cell r="B761">
            <v>237.98479216694625</v>
          </cell>
        </row>
        <row r="762">
          <cell r="A762">
            <v>44481</v>
          </cell>
          <cell r="B762">
            <v>241.26694642833931</v>
          </cell>
        </row>
        <row r="763">
          <cell r="A763">
            <v>44482</v>
          </cell>
          <cell r="B763">
            <v>249.11853823799618</v>
          </cell>
        </row>
        <row r="764">
          <cell r="A764">
            <v>44483</v>
          </cell>
          <cell r="B764">
            <v>256.4743400696795</v>
          </cell>
        </row>
        <row r="765">
          <cell r="A765">
            <v>44487</v>
          </cell>
          <cell r="B765">
            <v>262.48857767282453</v>
          </cell>
        </row>
        <row r="766">
          <cell r="A766">
            <v>44488</v>
          </cell>
          <cell r="B766">
            <v>246.10553870045868</v>
          </cell>
        </row>
        <row r="767">
          <cell r="A767">
            <v>44489</v>
          </cell>
          <cell r="B767">
            <v>246.59358856669724</v>
          </cell>
        </row>
        <row r="768">
          <cell r="A768">
            <v>44490</v>
          </cell>
          <cell r="B768">
            <v>244.71884335093802</v>
          </cell>
        </row>
        <row r="769">
          <cell r="A769">
            <v>44491</v>
          </cell>
          <cell r="B769">
            <v>236.67834053071564</v>
          </cell>
        </row>
        <row r="770">
          <cell r="A770">
            <v>44494</v>
          </cell>
          <cell r="B770">
            <v>233.43151325428934</v>
          </cell>
        </row>
        <row r="771">
          <cell r="A771">
            <v>44495</v>
          </cell>
          <cell r="B771">
            <v>236.66663000516928</v>
          </cell>
        </row>
        <row r="772">
          <cell r="A772">
            <v>44496</v>
          </cell>
          <cell r="B772">
            <v>238.43235600565561</v>
          </cell>
        </row>
        <row r="773">
          <cell r="A773">
            <v>44497</v>
          </cell>
          <cell r="B773">
            <v>225.22612663091331</v>
          </cell>
        </row>
        <row r="774">
          <cell r="A774">
            <v>44498</v>
          </cell>
          <cell r="B774">
            <v>223.21875037503148</v>
          </cell>
        </row>
        <row r="775">
          <cell r="A775">
            <v>44501</v>
          </cell>
          <cell r="B775">
            <v>226.81280270035711</v>
          </cell>
        </row>
        <row r="776">
          <cell r="A776">
            <v>44502</v>
          </cell>
          <cell r="B776">
            <v>225.61240868247754</v>
          </cell>
        </row>
        <row r="777">
          <cell r="A777">
            <v>44503</v>
          </cell>
          <cell r="B777">
            <v>222.48114736063047</v>
          </cell>
        </row>
        <row r="778">
          <cell r="A778">
            <v>44504</v>
          </cell>
          <cell r="B778">
            <v>226.5083224686658</v>
          </cell>
        </row>
        <row r="779">
          <cell r="A779">
            <v>44508</v>
          </cell>
          <cell r="B779">
            <v>229.76714329850833</v>
          </cell>
        </row>
        <row r="780">
          <cell r="A780">
            <v>44509</v>
          </cell>
          <cell r="B780">
            <v>228.76052298405727</v>
          </cell>
        </row>
        <row r="781">
          <cell r="A781">
            <v>44510</v>
          </cell>
          <cell r="B781">
            <v>230.82876375373465</v>
          </cell>
        </row>
        <row r="782">
          <cell r="A782">
            <v>44511</v>
          </cell>
          <cell r="B782">
            <v>230.00851031488165</v>
          </cell>
        </row>
        <row r="783">
          <cell r="A783">
            <v>44512</v>
          </cell>
          <cell r="B783">
            <v>232.87065829705455</v>
          </cell>
        </row>
        <row r="784">
          <cell r="A784">
            <v>44515</v>
          </cell>
          <cell r="B784">
            <v>238.04691553783505</v>
          </cell>
        </row>
        <row r="785">
          <cell r="A785">
            <v>44516</v>
          </cell>
          <cell r="B785">
            <v>235.47613785130147</v>
          </cell>
        </row>
        <row r="786">
          <cell r="A786">
            <v>44517</v>
          </cell>
          <cell r="B786">
            <v>239.45881308414951</v>
          </cell>
        </row>
        <row r="787">
          <cell r="A787">
            <v>44518</v>
          </cell>
          <cell r="B787">
            <v>237.51995167594077</v>
          </cell>
        </row>
        <row r="788">
          <cell r="A788">
            <v>44522</v>
          </cell>
          <cell r="B788">
            <v>230.96420804983785</v>
          </cell>
        </row>
        <row r="789">
          <cell r="A789">
            <v>44523</v>
          </cell>
          <cell r="B789">
            <v>231.59305220843376</v>
          </cell>
        </row>
        <row r="790">
          <cell r="A790">
            <v>44524</v>
          </cell>
          <cell r="B790">
            <v>227.73826002768462</v>
          </cell>
        </row>
        <row r="791">
          <cell r="A791">
            <v>44525</v>
          </cell>
          <cell r="B791">
            <v>231.26346037326101</v>
          </cell>
        </row>
        <row r="792">
          <cell r="A792">
            <v>44526</v>
          </cell>
          <cell r="B792">
            <v>224.07080637481442</v>
          </cell>
        </row>
        <row r="793">
          <cell r="A793">
            <v>44529</v>
          </cell>
          <cell r="B793">
            <v>221.52481077880722</v>
          </cell>
        </row>
        <row r="794">
          <cell r="A794">
            <v>44530</v>
          </cell>
          <cell r="B794">
            <v>221.15353845661531</v>
          </cell>
        </row>
        <row r="795">
          <cell r="A795">
            <v>44531</v>
          </cell>
          <cell r="B795">
            <v>221.89245565650768</v>
          </cell>
        </row>
        <row r="796">
          <cell r="A796">
            <v>44532</v>
          </cell>
          <cell r="B796">
            <v>225.41393377059671</v>
          </cell>
        </row>
        <row r="797">
          <cell r="A797">
            <v>44533</v>
          </cell>
          <cell r="B797">
            <v>221.68746518161569</v>
          </cell>
        </row>
        <row r="798">
          <cell r="A798">
            <v>44536</v>
          </cell>
          <cell r="B798">
            <v>217.93683132449385</v>
          </cell>
        </row>
        <row r="799">
          <cell r="A799">
            <v>44537</v>
          </cell>
          <cell r="B799">
            <v>220.62220160259807</v>
          </cell>
        </row>
        <row r="800">
          <cell r="A800">
            <v>44538</v>
          </cell>
          <cell r="B800">
            <v>224.90614330205611</v>
          </cell>
        </row>
        <row r="801">
          <cell r="A801">
            <v>44539</v>
          </cell>
          <cell r="B801">
            <v>235.29058987570781</v>
          </cell>
        </row>
        <row r="802">
          <cell r="A802">
            <v>44540</v>
          </cell>
          <cell r="B802">
            <v>236.09291721248363</v>
          </cell>
        </row>
        <row r="803">
          <cell r="A803">
            <v>44543</v>
          </cell>
          <cell r="B803">
            <v>234.61501536098308</v>
          </cell>
        </row>
        <row r="804">
          <cell r="A804">
            <v>44544</v>
          </cell>
          <cell r="B804">
            <v>228.65853658536585</v>
          </cell>
        </row>
        <row r="805">
          <cell r="A805">
            <v>44545</v>
          </cell>
          <cell r="B805">
            <v>224.09459482437006</v>
          </cell>
        </row>
        <row r="806">
          <cell r="A806">
            <v>44546</v>
          </cell>
          <cell r="B806">
            <v>222.91136847979249</v>
          </cell>
        </row>
        <row r="807">
          <cell r="A807">
            <v>44547</v>
          </cell>
          <cell r="B807">
            <v>217.99839564383291</v>
          </cell>
        </row>
        <row r="808">
          <cell r="A808">
            <v>44550</v>
          </cell>
          <cell r="B808">
            <v>212.45417581483278</v>
          </cell>
        </row>
        <row r="809">
          <cell r="A809">
            <v>44551</v>
          </cell>
          <cell r="B809">
            <v>212.49893750531245</v>
          </cell>
        </row>
        <row r="810">
          <cell r="A810">
            <v>44552</v>
          </cell>
          <cell r="B810">
            <v>212.00508812211493</v>
          </cell>
        </row>
        <row r="811">
          <cell r="A811">
            <v>44553</v>
          </cell>
          <cell r="B811">
            <v>217.24568857785553</v>
          </cell>
        </row>
        <row r="812">
          <cell r="A812">
            <v>44554</v>
          </cell>
          <cell r="B812">
            <v>217.99302422322484</v>
          </cell>
        </row>
        <row r="813">
          <cell r="A813">
            <v>44557</v>
          </cell>
          <cell r="B813">
            <v>217.5545686459416</v>
          </cell>
        </row>
        <row r="814">
          <cell r="A814">
            <v>44558</v>
          </cell>
          <cell r="B814">
            <v>220.02469715982662</v>
          </cell>
        </row>
        <row r="815">
          <cell r="A815">
            <v>44559</v>
          </cell>
          <cell r="B815">
            <v>216.78251737760664</v>
          </cell>
        </row>
        <row r="816">
          <cell r="A816">
            <v>44560</v>
          </cell>
          <cell r="B816">
            <v>216.00756026460925</v>
          </cell>
        </row>
        <row r="817">
          <cell r="A817">
            <v>44561</v>
          </cell>
          <cell r="B817">
            <v>218.02928721771434</v>
          </cell>
        </row>
        <row r="818">
          <cell r="A818">
            <v>44564</v>
          </cell>
          <cell r="B818">
            <v>219.08948370478217</v>
          </cell>
        </row>
        <row r="819">
          <cell r="A819">
            <v>44565</v>
          </cell>
          <cell r="B819">
            <v>220.23854759552503</v>
          </cell>
        </row>
        <row r="820">
          <cell r="A820">
            <v>44566</v>
          </cell>
          <cell r="B820">
            <v>220.54691234322721</v>
          </cell>
        </row>
        <row r="821">
          <cell r="A821">
            <v>44567</v>
          </cell>
          <cell r="B821">
            <v>218.71837234327683</v>
          </cell>
        </row>
        <row r="822">
          <cell r="A822">
            <v>44568</v>
          </cell>
          <cell r="B822">
            <v>218.403057642807</v>
          </cell>
        </row>
        <row r="823">
          <cell r="A823">
            <v>44571</v>
          </cell>
          <cell r="B823">
            <v>223.24999200179161</v>
          </cell>
        </row>
        <row r="824">
          <cell r="A824">
            <v>44572</v>
          </cell>
          <cell r="B824">
            <v>221.96331779906791</v>
          </cell>
        </row>
        <row r="825">
          <cell r="A825">
            <v>44573</v>
          </cell>
          <cell r="B825">
            <v>222.74198128867363</v>
          </cell>
        </row>
        <row r="826">
          <cell r="A826">
            <v>44574</v>
          </cell>
          <cell r="B826">
            <v>223.93790735300291</v>
          </cell>
        </row>
        <row r="827">
          <cell r="A827">
            <v>44575</v>
          </cell>
          <cell r="B827">
            <v>222.61335680140806</v>
          </cell>
        </row>
        <row r="828">
          <cell r="A828">
            <v>44578</v>
          </cell>
          <cell r="B828">
            <v>224.57978781909628</v>
          </cell>
        </row>
        <row r="829">
          <cell r="A829">
            <v>44579</v>
          </cell>
          <cell r="B829">
            <v>220.78775470605476</v>
          </cell>
        </row>
        <row r="830">
          <cell r="A830">
            <v>44580</v>
          </cell>
          <cell r="B830">
            <v>220.35396637139468</v>
          </cell>
        </row>
        <row r="831">
          <cell r="A831">
            <v>44581</v>
          </cell>
          <cell r="B831">
            <v>218.76596991580385</v>
          </cell>
        </row>
        <row r="832">
          <cell r="A832">
            <v>44582</v>
          </cell>
          <cell r="B832">
            <v>217.06693122063521</v>
          </cell>
        </row>
        <row r="833">
          <cell r="A833">
            <v>44585</v>
          </cell>
          <cell r="B833">
            <v>211.85126800685765</v>
          </cell>
        </row>
        <row r="834">
          <cell r="A834">
            <v>44586</v>
          </cell>
          <cell r="B834">
            <v>214.27471558356115</v>
          </cell>
        </row>
        <row r="835">
          <cell r="A835">
            <v>44588</v>
          </cell>
          <cell r="B835">
            <v>214.59699564206102</v>
          </cell>
        </row>
        <row r="836">
          <cell r="A836">
            <v>44589</v>
          </cell>
          <cell r="B836">
            <v>217.56954026436298</v>
          </cell>
        </row>
        <row r="837">
          <cell r="A837">
            <v>44592</v>
          </cell>
          <cell r="B837">
            <v>220.17379931788116</v>
          </cell>
        </row>
        <row r="838">
          <cell r="A838">
            <v>44593</v>
          </cell>
          <cell r="B838">
            <v>227.67190853537238</v>
          </cell>
        </row>
        <row r="839">
          <cell r="A839">
            <v>44594</v>
          </cell>
          <cell r="B839">
            <v>232.10520369568673</v>
          </cell>
        </row>
        <row r="840">
          <cell r="A840">
            <v>44595</v>
          </cell>
          <cell r="B840">
            <v>234.42679174761696</v>
          </cell>
        </row>
        <row r="841">
          <cell r="A841">
            <v>44596</v>
          </cell>
          <cell r="B841">
            <v>234.30140580843485</v>
          </cell>
        </row>
        <row r="842">
          <cell r="A842">
            <v>44599</v>
          </cell>
          <cell r="B842">
            <v>230.24029205110895</v>
          </cell>
        </row>
        <row r="843">
          <cell r="A843">
            <v>44600</v>
          </cell>
          <cell r="B843">
            <v>231.23936298930249</v>
          </cell>
        </row>
        <row r="844">
          <cell r="A844">
            <v>44601</v>
          </cell>
          <cell r="B844">
            <v>230.16104773029107</v>
          </cell>
        </row>
        <row r="845">
          <cell r="A845">
            <v>44602</v>
          </cell>
          <cell r="B845">
            <v>232.22886717308722</v>
          </cell>
        </row>
        <row r="846">
          <cell r="A846">
            <v>44603</v>
          </cell>
          <cell r="B846">
            <v>232.44790796882828</v>
          </cell>
        </row>
        <row r="847">
          <cell r="A847">
            <v>44606</v>
          </cell>
          <cell r="B847">
            <v>219.57274116230971</v>
          </cell>
        </row>
        <row r="848">
          <cell r="A848">
            <v>44607</v>
          </cell>
          <cell r="B848">
            <v>222.96387985146407</v>
          </cell>
        </row>
        <row r="849">
          <cell r="A849">
            <v>44608</v>
          </cell>
          <cell r="B849">
            <v>222.75245027695306</v>
          </cell>
        </row>
        <row r="850">
          <cell r="A850">
            <v>44609</v>
          </cell>
          <cell r="B850">
            <v>222.65089060356243</v>
          </cell>
        </row>
        <row r="851">
          <cell r="A851">
            <v>44610</v>
          </cell>
          <cell r="B851">
            <v>221.90754485652513</v>
          </cell>
        </row>
        <row r="852">
          <cell r="A852">
            <v>44613</v>
          </cell>
          <cell r="B852">
            <v>218.03837475395667</v>
          </cell>
        </row>
        <row r="853">
          <cell r="A853">
            <v>44614</v>
          </cell>
          <cell r="B853">
            <v>214.88094285577122</v>
          </cell>
        </row>
        <row r="854">
          <cell r="A854">
            <v>44615</v>
          </cell>
          <cell r="B854">
            <v>215.9389871116573</v>
          </cell>
        </row>
        <row r="855">
          <cell r="A855">
            <v>44616</v>
          </cell>
          <cell r="B855">
            <v>208.57195732527722</v>
          </cell>
        </row>
        <row r="856">
          <cell r="A856">
            <v>44617</v>
          </cell>
          <cell r="B856">
            <v>213.89417362068497</v>
          </cell>
        </row>
        <row r="857">
          <cell r="A857">
            <v>44620</v>
          </cell>
          <cell r="B857">
            <v>215.8307910595957</v>
          </cell>
        </row>
        <row r="858">
          <cell r="A858">
            <v>44622</v>
          </cell>
          <cell r="B858">
            <v>215.30538263456589</v>
          </cell>
        </row>
        <row r="859">
          <cell r="A859">
            <v>44623</v>
          </cell>
          <cell r="B859">
            <v>219.35832191883546</v>
          </cell>
        </row>
        <row r="860">
          <cell r="A860">
            <v>44624</v>
          </cell>
          <cell r="B860">
            <v>225.4373284226985</v>
          </cell>
        </row>
        <row r="861">
          <cell r="A861">
            <v>44627</v>
          </cell>
          <cell r="B861">
            <v>224.9553989295743</v>
          </cell>
        </row>
        <row r="862">
          <cell r="A862">
            <v>44628</v>
          </cell>
          <cell r="B862">
            <v>226.88026141725672</v>
          </cell>
        </row>
        <row r="863">
          <cell r="A863">
            <v>44629</v>
          </cell>
          <cell r="B863">
            <v>229.22616047931012</v>
          </cell>
        </row>
        <row r="864">
          <cell r="A864">
            <v>44630</v>
          </cell>
          <cell r="B864">
            <v>231.97216334039916</v>
          </cell>
        </row>
        <row r="865">
          <cell r="A865">
            <v>44631</v>
          </cell>
          <cell r="B865">
            <v>236.30557455198419</v>
          </cell>
        </row>
        <row r="866">
          <cell r="A866">
            <v>44634</v>
          </cell>
          <cell r="B866">
            <v>238.97323499768029</v>
          </cell>
        </row>
        <row r="867">
          <cell r="A867">
            <v>44635</v>
          </cell>
          <cell r="B867">
            <v>237.86141734803272</v>
          </cell>
        </row>
        <row r="868">
          <cell r="A868">
            <v>44636</v>
          </cell>
          <cell r="B868">
            <v>242.5514897020596</v>
          </cell>
        </row>
        <row r="869">
          <cell r="A869">
            <v>44637</v>
          </cell>
          <cell r="B869">
            <v>244.87673671001255</v>
          </cell>
        </row>
        <row r="870">
          <cell r="A870">
            <v>44641</v>
          </cell>
          <cell r="B870">
            <v>244.503912062593</v>
          </cell>
        </row>
        <row r="871">
          <cell r="A871">
            <v>44642</v>
          </cell>
          <cell r="B871">
            <v>249.69631529221215</v>
          </cell>
        </row>
        <row r="872">
          <cell r="A872">
            <v>44643</v>
          </cell>
          <cell r="B872">
            <v>251.97732204101632</v>
          </cell>
        </row>
        <row r="873">
          <cell r="A873">
            <v>44644</v>
          </cell>
          <cell r="B873">
            <v>254.82120520381196</v>
          </cell>
        </row>
        <row r="874">
          <cell r="A874">
            <v>44645</v>
          </cell>
          <cell r="B874">
            <v>253.36494853196339</v>
          </cell>
        </row>
        <row r="875">
          <cell r="A875">
            <v>44648</v>
          </cell>
          <cell r="B875">
            <v>257.01247617847798</v>
          </cell>
        </row>
        <row r="876">
          <cell r="A876">
            <v>44649</v>
          </cell>
          <cell r="B876">
            <v>254.62418929798329</v>
          </cell>
        </row>
        <row r="877">
          <cell r="A877">
            <v>44650</v>
          </cell>
          <cell r="B877">
            <v>249.25284160241969</v>
          </cell>
        </row>
        <row r="878">
          <cell r="A878">
            <v>44651</v>
          </cell>
          <cell r="B878">
            <v>250.63546314313774</v>
          </cell>
        </row>
        <row r="879">
          <cell r="A879">
            <v>44652</v>
          </cell>
          <cell r="B879">
            <v>253.27315304577718</v>
          </cell>
        </row>
        <row r="880">
          <cell r="A880">
            <v>44655</v>
          </cell>
          <cell r="B880">
            <v>255.42828859546941</v>
          </cell>
        </row>
        <row r="881">
          <cell r="A881">
            <v>44656</v>
          </cell>
          <cell r="B881">
            <v>259.40927274417913</v>
          </cell>
        </row>
        <row r="882">
          <cell r="A882">
            <v>44657</v>
          </cell>
          <cell r="B882">
            <v>259.59844240934558</v>
          </cell>
        </row>
        <row r="883">
          <cell r="A883">
            <v>44658</v>
          </cell>
          <cell r="B883">
            <v>256.67926143580365</v>
          </cell>
        </row>
        <row r="884">
          <cell r="A884">
            <v>44659</v>
          </cell>
          <cell r="B884">
            <v>266.06129126094226</v>
          </cell>
        </row>
        <row r="885">
          <cell r="A885">
            <v>44662</v>
          </cell>
          <cell r="B885">
            <v>267.48662566871656</v>
          </cell>
        </row>
        <row r="886">
          <cell r="A886">
            <v>44663</v>
          </cell>
          <cell r="B886">
            <v>263.22264206801503</v>
          </cell>
        </row>
        <row r="887">
          <cell r="A887">
            <v>44664</v>
          </cell>
          <cell r="B887">
            <v>269.48478468210692</v>
          </cell>
        </row>
        <row r="888">
          <cell r="A888">
            <v>44669</v>
          </cell>
          <cell r="B888">
            <v>268.46100690128293</v>
          </cell>
        </row>
        <row r="889">
          <cell r="A889">
            <v>44670</v>
          </cell>
          <cell r="B889">
            <v>261.61723562955677</v>
          </cell>
        </row>
        <row r="890">
          <cell r="A890">
            <v>44671</v>
          </cell>
          <cell r="B890">
            <v>259.56972729927475</v>
          </cell>
        </row>
        <row r="891">
          <cell r="A891">
            <v>44672</v>
          </cell>
          <cell r="B891">
            <v>260.39140708356621</v>
          </cell>
        </row>
        <row r="892">
          <cell r="A892">
            <v>44673</v>
          </cell>
          <cell r="B892">
            <v>261.09295049033676</v>
          </cell>
        </row>
        <row r="893">
          <cell r="A893">
            <v>44676</v>
          </cell>
          <cell r="B893">
            <v>255.3071888102935</v>
          </cell>
        </row>
        <row r="894">
          <cell r="A894">
            <v>44677</v>
          </cell>
          <cell r="B894">
            <v>258.91245769363439</v>
          </cell>
        </row>
        <row r="895">
          <cell r="A895">
            <v>44678</v>
          </cell>
          <cell r="B895">
            <v>257.51442080756522</v>
          </cell>
        </row>
        <row r="896">
          <cell r="A896">
            <v>44679</v>
          </cell>
          <cell r="B896">
            <v>261.06345111684368</v>
          </cell>
        </row>
        <row r="897">
          <cell r="A897">
            <v>44680</v>
          </cell>
          <cell r="B897">
            <v>259.56531435354685</v>
          </cell>
        </row>
        <row r="898">
          <cell r="A898">
            <v>44683</v>
          </cell>
          <cell r="B898">
            <v>263.11342723361452</v>
          </cell>
        </row>
        <row r="899">
          <cell r="A899">
            <v>44685</v>
          </cell>
          <cell r="B899">
            <v>259.78351207305741</v>
          </cell>
        </row>
        <row r="900">
          <cell r="A900">
            <v>44686</v>
          </cell>
          <cell r="B900">
            <v>262.02667962551334</v>
          </cell>
        </row>
        <row r="901">
          <cell r="A901">
            <v>44687</v>
          </cell>
          <cell r="B901">
            <v>266.60307785829696</v>
          </cell>
        </row>
        <row r="902">
          <cell r="A902">
            <v>44690</v>
          </cell>
          <cell r="B902">
            <v>261.39201701138524</v>
          </cell>
        </row>
        <row r="903">
          <cell r="A903">
            <v>44691</v>
          </cell>
          <cell r="B903">
            <v>259.76584571658873</v>
          </cell>
        </row>
        <row r="904">
          <cell r="A904">
            <v>44692</v>
          </cell>
          <cell r="B904">
            <v>254.14540369800619</v>
          </cell>
        </row>
        <row r="905">
          <cell r="A905">
            <v>44693</v>
          </cell>
          <cell r="B905">
            <v>251.37714873206306</v>
          </cell>
        </row>
        <row r="906">
          <cell r="A906">
            <v>44694</v>
          </cell>
          <cell r="B906">
            <v>258.52554464314278</v>
          </cell>
        </row>
        <row r="907">
          <cell r="A907">
            <v>44697</v>
          </cell>
          <cell r="B907">
            <v>254.14422109447042</v>
          </cell>
        </row>
        <row r="908">
          <cell r="A908">
            <v>44698</v>
          </cell>
          <cell r="B908">
            <v>264.5896661092325</v>
          </cell>
        </row>
        <row r="909">
          <cell r="A909">
            <v>44699</v>
          </cell>
          <cell r="B909">
            <v>266.7789244649673</v>
          </cell>
        </row>
        <row r="910">
          <cell r="A910">
            <v>44700</v>
          </cell>
          <cell r="B910">
            <v>273.88659839163103</v>
          </cell>
        </row>
        <row r="911">
          <cell r="A911">
            <v>44701</v>
          </cell>
          <cell r="B911">
            <v>278.24603712613407</v>
          </cell>
        </row>
        <row r="912">
          <cell r="A912">
            <v>44704</v>
          </cell>
          <cell r="B912">
            <v>272.87348320270769</v>
          </cell>
        </row>
        <row r="913">
          <cell r="A913">
            <v>44705</v>
          </cell>
          <cell r="B913">
            <v>269.2258070323353</v>
          </cell>
        </row>
        <row r="914">
          <cell r="A914">
            <v>44706</v>
          </cell>
          <cell r="B914">
            <v>271.01157121315748</v>
          </cell>
        </row>
        <row r="915">
          <cell r="A915">
            <v>44707</v>
          </cell>
          <cell r="B915">
            <v>265.12832823221106</v>
          </cell>
        </row>
        <row r="916">
          <cell r="A916">
            <v>44708</v>
          </cell>
          <cell r="B916">
            <v>267.52485266384957</v>
          </cell>
        </row>
        <row r="917">
          <cell r="A917">
            <v>44711</v>
          </cell>
          <cell r="B917">
            <v>267.40160440962643</v>
          </cell>
        </row>
        <row r="918">
          <cell r="A918">
            <v>44712</v>
          </cell>
          <cell r="B918">
            <v>268.97413052629895</v>
          </cell>
        </row>
        <row r="919">
          <cell r="A919">
            <v>44713</v>
          </cell>
          <cell r="B919">
            <v>270.16811260304547</v>
          </cell>
        </row>
        <row r="920">
          <cell r="A920">
            <v>44714</v>
          </cell>
          <cell r="B920">
            <v>271.8134193814177</v>
          </cell>
        </row>
        <row r="921">
          <cell r="A921">
            <v>44715</v>
          </cell>
          <cell r="B921">
            <v>271.03786009794283</v>
          </cell>
        </row>
        <row r="922">
          <cell r="A922">
            <v>44718</v>
          </cell>
          <cell r="B922">
            <v>273.09897137920376</v>
          </cell>
        </row>
        <row r="923">
          <cell r="A923">
            <v>44719</v>
          </cell>
          <cell r="B923">
            <v>272.22898355645737</v>
          </cell>
        </row>
        <row r="924">
          <cell r="A924">
            <v>44720</v>
          </cell>
          <cell r="B924">
            <v>266.31832371289312</v>
          </cell>
        </row>
        <row r="925">
          <cell r="A925">
            <v>44721</v>
          </cell>
          <cell r="B925">
            <v>269.1603923568407</v>
          </cell>
        </row>
        <row r="926">
          <cell r="A926">
            <v>44722</v>
          </cell>
          <cell r="B926">
            <v>268.5069811815107</v>
          </cell>
        </row>
        <row r="927">
          <cell r="A927">
            <v>44725</v>
          </cell>
          <cell r="B927">
            <v>263.08366906848994</v>
          </cell>
        </row>
        <row r="928">
          <cell r="A928">
            <v>44726</v>
          </cell>
          <cell r="B928">
            <v>263.82208533743989</v>
          </cell>
        </row>
        <row r="929">
          <cell r="A929">
            <v>44727</v>
          </cell>
          <cell r="B929">
            <v>261.81015938227245</v>
          </cell>
        </row>
        <row r="930">
          <cell r="A930">
            <v>44728</v>
          </cell>
          <cell r="B930">
            <v>259.12643089595144</v>
          </cell>
        </row>
        <row r="931">
          <cell r="A931">
            <v>44729</v>
          </cell>
          <cell r="B931">
            <v>261.66383361663833</v>
          </cell>
        </row>
        <row r="932">
          <cell r="A932">
            <v>44732</v>
          </cell>
          <cell r="B932">
            <v>262.47212583622496</v>
          </cell>
        </row>
        <row r="933">
          <cell r="A933">
            <v>44733</v>
          </cell>
          <cell r="B933">
            <v>268.19099798044425</v>
          </cell>
        </row>
        <row r="934">
          <cell r="A934">
            <v>44734</v>
          </cell>
          <cell r="B934">
            <v>263.72483322164771</v>
          </cell>
        </row>
        <row r="935">
          <cell r="A935">
            <v>44735</v>
          </cell>
          <cell r="B935">
            <v>263.86788905688752</v>
          </cell>
        </row>
        <row r="936">
          <cell r="A936">
            <v>44736</v>
          </cell>
          <cell r="B936">
            <v>264.21656518465261</v>
          </cell>
        </row>
        <row r="937">
          <cell r="A937">
            <v>44739</v>
          </cell>
          <cell r="B937">
            <v>268.25868816202308</v>
          </cell>
        </row>
        <row r="938">
          <cell r="A938">
            <v>44740</v>
          </cell>
          <cell r="B938">
            <v>270.16108872378936</v>
          </cell>
        </row>
        <row r="939">
          <cell r="A939">
            <v>44741</v>
          </cell>
          <cell r="B939">
            <v>272.34793981687483</v>
          </cell>
        </row>
        <row r="940">
          <cell r="A940">
            <v>44742</v>
          </cell>
          <cell r="B940">
            <v>271.83543670873416</v>
          </cell>
        </row>
        <row r="941">
          <cell r="A941">
            <v>44743</v>
          </cell>
          <cell r="B941">
            <v>282.49784835420343</v>
          </cell>
        </row>
        <row r="942">
          <cell r="A942">
            <v>44746</v>
          </cell>
          <cell r="B942">
            <v>290.03285126156442</v>
          </cell>
        </row>
        <row r="943">
          <cell r="A943">
            <v>44747</v>
          </cell>
          <cell r="B943">
            <v>285.18876727920474</v>
          </cell>
        </row>
        <row r="944">
          <cell r="A944">
            <v>44748</v>
          </cell>
          <cell r="B944">
            <v>287.50584950864123</v>
          </cell>
        </row>
        <row r="945">
          <cell r="A945">
            <v>44749</v>
          </cell>
          <cell r="B945">
            <v>290.13330773568833</v>
          </cell>
        </row>
        <row r="946">
          <cell r="A946">
            <v>44750</v>
          </cell>
          <cell r="B946">
            <v>291.24893254056343</v>
          </cell>
        </row>
        <row r="947">
          <cell r="A947">
            <v>44753</v>
          </cell>
          <cell r="B947">
            <v>293.17035758604175</v>
          </cell>
        </row>
        <row r="948">
          <cell r="A948">
            <v>44754</v>
          </cell>
          <cell r="B948">
            <v>290.93269275003456</v>
          </cell>
        </row>
        <row r="949">
          <cell r="A949">
            <v>44755</v>
          </cell>
          <cell r="B949">
            <v>292.23655711837256</v>
          </cell>
        </row>
        <row r="950">
          <cell r="A950">
            <v>44756</v>
          </cell>
          <cell r="B950">
            <v>289.10151206481504</v>
          </cell>
        </row>
        <row r="951">
          <cell r="A951">
            <v>44757</v>
          </cell>
          <cell r="B951">
            <v>291.72286977311114</v>
          </cell>
        </row>
        <row r="952">
          <cell r="A952">
            <v>44760</v>
          </cell>
          <cell r="B952">
            <v>293.47239165650063</v>
          </cell>
        </row>
        <row r="953">
          <cell r="A953">
            <v>44761</v>
          </cell>
          <cell r="B953">
            <v>292.80702736865686</v>
          </cell>
        </row>
        <row r="954">
          <cell r="A954">
            <v>44762</v>
          </cell>
          <cell r="B954">
            <v>296.33384727063299</v>
          </cell>
        </row>
        <row r="955">
          <cell r="A955">
            <v>44763</v>
          </cell>
          <cell r="B955">
            <v>297.70660320285589</v>
          </cell>
        </row>
        <row r="956">
          <cell r="A956">
            <v>44764</v>
          </cell>
          <cell r="B956">
            <v>298.70014289528444</v>
          </cell>
        </row>
        <row r="957">
          <cell r="A957">
            <v>44767</v>
          </cell>
          <cell r="B957">
            <v>299.25461341695848</v>
          </cell>
        </row>
        <row r="958">
          <cell r="A958">
            <v>44768</v>
          </cell>
          <cell r="B958">
            <v>300.58647360868758</v>
          </cell>
        </row>
        <row r="959">
          <cell r="A959">
            <v>44769</v>
          </cell>
          <cell r="B959">
            <v>302.27307270792835</v>
          </cell>
        </row>
        <row r="960">
          <cell r="A960">
            <v>44770</v>
          </cell>
          <cell r="B960">
            <v>301.59693672954478</v>
          </cell>
        </row>
        <row r="961">
          <cell r="A961">
            <v>44771</v>
          </cell>
          <cell r="B961">
            <v>301.19391552090178</v>
          </cell>
        </row>
        <row r="962">
          <cell r="A962">
            <v>44774</v>
          </cell>
          <cell r="B962">
            <v>305.57508046317196</v>
          </cell>
        </row>
        <row r="963">
          <cell r="A963">
            <v>44775</v>
          </cell>
          <cell r="B963">
            <v>308.02535797136227</v>
          </cell>
        </row>
        <row r="964">
          <cell r="A964">
            <v>44776</v>
          </cell>
          <cell r="B964">
            <v>306.2777641103184</v>
          </cell>
        </row>
        <row r="965">
          <cell r="A965">
            <v>44777</v>
          </cell>
          <cell r="B965">
            <v>307.59646575550681</v>
          </cell>
        </row>
        <row r="966">
          <cell r="A966">
            <v>44778</v>
          </cell>
          <cell r="B966">
            <v>308.9364067981009</v>
          </cell>
        </row>
        <row r="967">
          <cell r="A967">
            <v>44781</v>
          </cell>
          <cell r="B967">
            <v>311.20697068416939</v>
          </cell>
        </row>
        <row r="968">
          <cell r="A968">
            <v>44783</v>
          </cell>
          <cell r="B968">
            <v>309.31917778902294</v>
          </cell>
        </row>
        <row r="969">
          <cell r="A969">
            <v>44784</v>
          </cell>
          <cell r="B969">
            <v>304.42840411625451</v>
          </cell>
        </row>
        <row r="970">
          <cell r="A970">
            <v>44785</v>
          </cell>
          <cell r="B970">
            <v>306.63700222483317</v>
          </cell>
        </row>
        <row r="971">
          <cell r="A971">
            <v>44789</v>
          </cell>
          <cell r="B971">
            <v>308.62993905396149</v>
          </cell>
        </row>
        <row r="972">
          <cell r="A972">
            <v>44790</v>
          </cell>
          <cell r="B972">
            <v>310.6201203123</v>
          </cell>
        </row>
        <row r="973">
          <cell r="A973">
            <v>44791</v>
          </cell>
          <cell r="B973">
            <v>313.68894479446533</v>
          </cell>
        </row>
        <row r="974">
          <cell r="A974">
            <v>44792</v>
          </cell>
          <cell r="B974">
            <v>310.12597461305506</v>
          </cell>
        </row>
        <row r="975">
          <cell r="A975">
            <v>44795</v>
          </cell>
          <cell r="B975">
            <v>312.45594089255127</v>
          </cell>
        </row>
        <row r="976">
          <cell r="A976">
            <v>44796</v>
          </cell>
          <cell r="B976">
            <v>313.95493016335217</v>
          </cell>
        </row>
        <row r="977">
          <cell r="A977">
            <v>44797</v>
          </cell>
          <cell r="B977">
            <v>312.19779527433064</v>
          </cell>
        </row>
        <row r="978">
          <cell r="A978">
            <v>44798</v>
          </cell>
          <cell r="B978">
            <v>310.45738561359434</v>
          </cell>
        </row>
        <row r="979">
          <cell r="A979">
            <v>44799</v>
          </cell>
          <cell r="B979">
            <v>310.9744024607557</v>
          </cell>
        </row>
        <row r="980">
          <cell r="A980">
            <v>44802</v>
          </cell>
          <cell r="B980">
            <v>311.62345590742592</v>
          </cell>
        </row>
        <row r="981">
          <cell r="A981">
            <v>44803</v>
          </cell>
          <cell r="B981">
            <v>318.46929981544099</v>
          </cell>
        </row>
        <row r="982">
          <cell r="A982">
            <v>44805</v>
          </cell>
          <cell r="B982">
            <v>315.67872676413549</v>
          </cell>
        </row>
        <row r="983">
          <cell r="A983">
            <v>44806</v>
          </cell>
          <cell r="B983">
            <v>321.11380508411031</v>
          </cell>
        </row>
        <row r="984">
          <cell r="A984">
            <v>44809</v>
          </cell>
          <cell r="B984">
            <v>326.78248628241431</v>
          </cell>
        </row>
        <row r="985">
          <cell r="A985">
            <v>44810</v>
          </cell>
          <cell r="B985">
            <v>325.16690867925132</v>
          </cell>
        </row>
        <row r="986">
          <cell r="A986">
            <v>44811</v>
          </cell>
          <cell r="B986">
            <v>324.11037153188903</v>
          </cell>
        </row>
        <row r="987">
          <cell r="A987">
            <v>44812</v>
          </cell>
          <cell r="B987">
            <v>327.84164252782426</v>
          </cell>
        </row>
        <row r="988">
          <cell r="A988">
            <v>44813</v>
          </cell>
          <cell r="B988">
            <v>328.4740874664256</v>
          </cell>
        </row>
        <row r="989">
          <cell r="A989">
            <v>44816</v>
          </cell>
          <cell r="B989">
            <v>328.86605360735678</v>
          </cell>
        </row>
        <row r="990">
          <cell r="A990">
            <v>44817</v>
          </cell>
          <cell r="B990">
            <v>332.31477463388887</v>
          </cell>
        </row>
        <row r="991">
          <cell r="A991">
            <v>44818</v>
          </cell>
          <cell r="B991">
            <v>333.29066786129994</v>
          </cell>
        </row>
        <row r="992">
          <cell r="A992">
            <v>44819</v>
          </cell>
          <cell r="B992">
            <v>332.06228630459327</v>
          </cell>
        </row>
        <row r="993">
          <cell r="A993">
            <v>44820</v>
          </cell>
          <cell r="B993">
            <v>329.2976610035243</v>
          </cell>
        </row>
        <row r="994">
          <cell r="A994">
            <v>44823</v>
          </cell>
          <cell r="B994">
            <v>333.50664413626231</v>
          </cell>
        </row>
        <row r="995">
          <cell r="A995">
            <v>44824</v>
          </cell>
          <cell r="B995">
            <v>333.93599276808681</v>
          </cell>
        </row>
        <row r="996">
          <cell r="A996">
            <v>44825</v>
          </cell>
          <cell r="B996">
            <v>338.81019490134958</v>
          </cell>
        </row>
        <row r="997">
          <cell r="A997">
            <v>44826</v>
          </cell>
          <cell r="B997">
            <v>342.89885213774352</v>
          </cell>
        </row>
        <row r="998">
          <cell r="A998">
            <v>44827</v>
          </cell>
          <cell r="B998">
            <v>344.26657360362947</v>
          </cell>
        </row>
        <row r="999">
          <cell r="A999">
            <v>44830</v>
          </cell>
          <cell r="B999">
            <v>330.69161526287462</v>
          </cell>
        </row>
        <row r="1000">
          <cell r="A1000">
            <v>44831</v>
          </cell>
          <cell r="B1000">
            <v>332.77737113876259</v>
          </cell>
        </row>
        <row r="1001">
          <cell r="A1001">
            <v>44832</v>
          </cell>
          <cell r="B1001">
            <v>323.05562446484157</v>
          </cell>
        </row>
        <row r="1002">
          <cell r="A1002">
            <v>44833</v>
          </cell>
          <cell r="B1002">
            <v>330.92759902784206</v>
          </cell>
        </row>
        <row r="1003">
          <cell r="A1003">
            <v>44834</v>
          </cell>
          <cell r="B1003">
            <v>330.17858464320074</v>
          </cell>
        </row>
        <row r="1004">
          <cell r="A1004">
            <v>44837</v>
          </cell>
          <cell r="B1004">
            <v>322.48578415927744</v>
          </cell>
        </row>
        <row r="1005">
          <cell r="A1005">
            <v>44838</v>
          </cell>
          <cell r="B1005">
            <v>330.72401175694324</v>
          </cell>
        </row>
        <row r="1006">
          <cell r="A1006">
            <v>44840</v>
          </cell>
          <cell r="B1006">
            <v>334.55186108783596</v>
          </cell>
        </row>
        <row r="1007">
          <cell r="A1007">
            <v>44841</v>
          </cell>
          <cell r="B1007">
            <v>332.07523771806655</v>
          </cell>
        </row>
        <row r="1008">
          <cell r="A1008">
            <v>44844</v>
          </cell>
          <cell r="B1008">
            <v>325.90094347643009</v>
          </cell>
        </row>
        <row r="1009">
          <cell r="A1009">
            <v>44845</v>
          </cell>
          <cell r="B1009">
            <v>324.31524281641236</v>
          </cell>
        </row>
        <row r="1010">
          <cell r="A1010">
            <v>44846</v>
          </cell>
          <cell r="B1010">
            <v>328.04194713413244</v>
          </cell>
        </row>
        <row r="1011">
          <cell r="A1011">
            <v>44847</v>
          </cell>
          <cell r="B1011">
            <v>326.65437279240285</v>
          </cell>
        </row>
        <row r="1012">
          <cell r="A1012">
            <v>44848</v>
          </cell>
          <cell r="B1012">
            <v>330.03534628863969</v>
          </cell>
        </row>
        <row r="1013">
          <cell r="A1013">
            <v>44851</v>
          </cell>
          <cell r="B1013">
            <v>330.21834890825545</v>
          </cell>
        </row>
        <row r="1014">
          <cell r="A1014">
            <v>44852</v>
          </cell>
          <cell r="B1014">
            <v>338.13817056272381</v>
          </cell>
        </row>
        <row r="1015">
          <cell r="A1015">
            <v>44853</v>
          </cell>
          <cell r="B1015">
            <v>344.16873796464233</v>
          </cell>
        </row>
        <row r="1016">
          <cell r="A1016">
            <v>44854</v>
          </cell>
          <cell r="B1016">
            <v>347.52628994987487</v>
          </cell>
        </row>
        <row r="1017">
          <cell r="A1017">
            <v>44855</v>
          </cell>
          <cell r="B1017">
            <v>343.52019186244792</v>
          </cell>
        </row>
        <row r="1018">
          <cell r="A1018">
            <v>44858</v>
          </cell>
          <cell r="B1018">
            <v>345.54892151578753</v>
          </cell>
        </row>
        <row r="1019">
          <cell r="A1019">
            <v>44859</v>
          </cell>
          <cell r="B1019">
            <v>344.19376775071004</v>
          </cell>
        </row>
        <row r="1020">
          <cell r="A1020">
            <v>44861</v>
          </cell>
          <cell r="B1020">
            <v>343.68481158736222</v>
          </cell>
        </row>
        <row r="1021">
          <cell r="A1021">
            <v>44862</v>
          </cell>
          <cell r="B1021">
            <v>343.68</v>
          </cell>
        </row>
        <row r="1022">
          <cell r="A1022">
            <v>44865</v>
          </cell>
          <cell r="B1022">
            <v>346.54089056519251</v>
          </cell>
        </row>
        <row r="1023">
          <cell r="A1023">
            <v>44866</v>
          </cell>
          <cell r="B1023">
            <v>347.3520109037492</v>
          </cell>
        </row>
        <row r="1024">
          <cell r="A1024">
            <v>44867</v>
          </cell>
          <cell r="B1024">
            <v>352.42819305562085</v>
          </cell>
        </row>
        <row r="1025">
          <cell r="A1025">
            <v>44868</v>
          </cell>
          <cell r="B1025">
            <v>351.53949156627226</v>
          </cell>
        </row>
        <row r="1026">
          <cell r="A1026">
            <v>44869</v>
          </cell>
          <cell r="B1026">
            <v>351.4310542931629</v>
          </cell>
        </row>
        <row r="1027">
          <cell r="A1027">
            <v>44872</v>
          </cell>
          <cell r="B1027">
            <v>351.34105402316203</v>
          </cell>
        </row>
        <row r="1028">
          <cell r="A1028">
            <v>44874</v>
          </cell>
          <cell r="B1028">
            <v>358.41688295587699</v>
          </cell>
        </row>
        <row r="1029">
          <cell r="A1029">
            <v>44875</v>
          </cell>
          <cell r="B1029">
            <v>353.86600258033542</v>
          </cell>
        </row>
        <row r="1030">
          <cell r="A1030">
            <v>44876</v>
          </cell>
          <cell r="B1030">
            <v>354.16645833541662</v>
          </cell>
        </row>
        <row r="1031">
          <cell r="A1031">
            <v>44879</v>
          </cell>
          <cell r="B1031">
            <v>345.15870578738736</v>
          </cell>
        </row>
        <row r="1032">
          <cell r="A1032">
            <v>44880</v>
          </cell>
          <cell r="B1032">
            <v>343.15921691614727</v>
          </cell>
        </row>
        <row r="1033">
          <cell r="A1033">
            <v>44881</v>
          </cell>
          <cell r="B1033">
            <v>342.0012860424394</v>
          </cell>
        </row>
        <row r="1034">
          <cell r="A1034">
            <v>44882</v>
          </cell>
          <cell r="B1034">
            <v>341.60409924919099</v>
          </cell>
        </row>
        <row r="1035">
          <cell r="A1035">
            <v>44883</v>
          </cell>
          <cell r="B1035">
            <v>338.98610192984859</v>
          </cell>
        </row>
        <row r="1036">
          <cell r="A1036">
            <v>44886</v>
          </cell>
          <cell r="B1036">
            <v>335.17787509988631</v>
          </cell>
        </row>
        <row r="1037">
          <cell r="A1037">
            <v>44887</v>
          </cell>
          <cell r="B1037">
            <v>338.13956743893056</v>
          </cell>
        </row>
        <row r="1038">
          <cell r="A1038">
            <v>44888</v>
          </cell>
          <cell r="B1038">
            <v>337.72439041707548</v>
          </cell>
        </row>
        <row r="1039">
          <cell r="A1039">
            <v>44889</v>
          </cell>
          <cell r="B1039">
            <v>338.65051778550207</v>
          </cell>
        </row>
        <row r="1040">
          <cell r="A1040">
            <v>44890</v>
          </cell>
          <cell r="B1040">
            <v>338.22439691715994</v>
          </cell>
        </row>
        <row r="1041">
          <cell r="A1041">
            <v>44893</v>
          </cell>
          <cell r="B1041">
            <v>337.97236580656067</v>
          </cell>
        </row>
        <row r="1042">
          <cell r="A1042">
            <v>44894</v>
          </cell>
          <cell r="B1042">
            <v>340.17754828181342</v>
          </cell>
        </row>
        <row r="1043">
          <cell r="A1043">
            <v>44895</v>
          </cell>
          <cell r="B1043">
            <v>337.94264215702452</v>
          </cell>
        </row>
        <row r="1044">
          <cell r="A1044">
            <v>44896</v>
          </cell>
          <cell r="B1044">
            <v>337.47438716703323</v>
          </cell>
        </row>
        <row r="1045">
          <cell r="A1045">
            <v>44897</v>
          </cell>
          <cell r="B1045">
            <v>335.11379307930861</v>
          </cell>
        </row>
        <row r="1046">
          <cell r="A1046">
            <v>44900</v>
          </cell>
          <cell r="B1046">
            <v>334.69401632819591</v>
          </cell>
        </row>
        <row r="1047">
          <cell r="A1047">
            <v>44901</v>
          </cell>
          <cell r="B1047">
            <v>335.22463640581753</v>
          </cell>
        </row>
        <row r="1048">
          <cell r="A1048">
            <v>44902</v>
          </cell>
          <cell r="B1048">
            <v>337.99194666842646</v>
          </cell>
        </row>
        <row r="1049">
          <cell r="A1049">
            <v>44903</v>
          </cell>
          <cell r="B1049">
            <v>336.34681734086701</v>
          </cell>
        </row>
        <row r="1050">
          <cell r="A1050">
            <v>44904</v>
          </cell>
          <cell r="B1050">
            <v>339.27980409743532</v>
          </cell>
        </row>
        <row r="1051">
          <cell r="A1051">
            <v>44907</v>
          </cell>
          <cell r="B1051">
            <v>341.08192265809913</v>
          </cell>
        </row>
        <row r="1052">
          <cell r="A1052">
            <v>44908</v>
          </cell>
          <cell r="B1052">
            <v>343.45595808293422</v>
          </cell>
        </row>
        <row r="1053">
          <cell r="A1053">
            <v>44909</v>
          </cell>
          <cell r="B1053">
            <v>343.29205975235851</v>
          </cell>
        </row>
        <row r="1054">
          <cell r="A1054">
            <v>44910</v>
          </cell>
          <cell r="B1054">
            <v>336.83399845970735</v>
          </cell>
        </row>
        <row r="1055">
          <cell r="A1055">
            <v>44911</v>
          </cell>
          <cell r="B1055">
            <v>333.08697265396461</v>
          </cell>
        </row>
        <row r="1056">
          <cell r="A1056">
            <v>44914</v>
          </cell>
          <cell r="B1056">
            <v>320.26394214561037</v>
          </cell>
        </row>
        <row r="1057">
          <cell r="A1057">
            <v>44915</v>
          </cell>
          <cell r="B1057">
            <v>319.8231982319823</v>
          </cell>
        </row>
        <row r="1058">
          <cell r="A1058">
            <v>44916</v>
          </cell>
          <cell r="B1058">
            <v>315.15632798021312</v>
          </cell>
        </row>
        <row r="1059">
          <cell r="A1059">
            <v>44917</v>
          </cell>
          <cell r="B1059">
            <v>312.60532103100348</v>
          </cell>
        </row>
        <row r="1060">
          <cell r="A1060">
            <v>44918</v>
          </cell>
          <cell r="B1060">
            <v>307.22314960488166</v>
          </cell>
        </row>
        <row r="1061">
          <cell r="A1061">
            <v>44921</v>
          </cell>
          <cell r="B1061">
            <v>314.52388521977679</v>
          </cell>
        </row>
        <row r="1062">
          <cell r="A1062">
            <v>44922</v>
          </cell>
          <cell r="B1062">
            <v>313.24346946918718</v>
          </cell>
        </row>
        <row r="1063">
          <cell r="A1063">
            <v>44923</v>
          </cell>
          <cell r="B1063">
            <v>314.39805287399082</v>
          </cell>
        </row>
        <row r="1064">
          <cell r="A1064">
            <v>44924</v>
          </cell>
          <cell r="B1064">
            <v>315.29117184718831</v>
          </cell>
        </row>
        <row r="1065">
          <cell r="A1065">
            <v>44925</v>
          </cell>
          <cell r="B1065">
            <v>311.76522947093025</v>
          </cell>
        </row>
        <row r="1066">
          <cell r="A1066">
            <v>44928</v>
          </cell>
          <cell r="B1066">
            <v>312.93779542597838</v>
          </cell>
        </row>
        <row r="1067">
          <cell r="A1067">
            <v>44929</v>
          </cell>
          <cell r="B1067">
            <v>311.32650030451612</v>
          </cell>
        </row>
        <row r="1068">
          <cell r="A1068">
            <v>44930</v>
          </cell>
          <cell r="B1068">
            <v>307.48812852793748</v>
          </cell>
        </row>
        <row r="1069">
          <cell r="A1069">
            <v>44931</v>
          </cell>
          <cell r="B1069">
            <v>313.45824872500117</v>
          </cell>
        </row>
        <row r="1070">
          <cell r="A1070">
            <v>44932</v>
          </cell>
          <cell r="B1070">
            <v>315.00487976577119</v>
          </cell>
        </row>
        <row r="1071">
          <cell r="A1071">
            <v>44935</v>
          </cell>
          <cell r="B1071">
            <v>317.81139697427233</v>
          </cell>
        </row>
        <row r="1072">
          <cell r="A1072">
            <v>44936</v>
          </cell>
          <cell r="B1072">
            <v>313.51326483054663</v>
          </cell>
        </row>
        <row r="1073">
          <cell r="A1073">
            <v>44937</v>
          </cell>
          <cell r="B1073">
            <v>311.97497479879036</v>
          </cell>
        </row>
        <row r="1074">
          <cell r="A1074">
            <v>44938</v>
          </cell>
          <cell r="B1074">
            <v>310.14829874962624</v>
          </cell>
        </row>
        <row r="1075">
          <cell r="A1075">
            <v>44939</v>
          </cell>
          <cell r="B1075">
            <v>309.11020063662102</v>
          </cell>
        </row>
        <row r="1076">
          <cell r="A1076">
            <v>44942</v>
          </cell>
          <cell r="B1076">
            <v>310.44634036102411</v>
          </cell>
        </row>
        <row r="1077">
          <cell r="A1077">
            <v>44943</v>
          </cell>
          <cell r="B1077">
            <v>312.37063302075268</v>
          </cell>
        </row>
        <row r="1078">
          <cell r="A1078">
            <v>44944</v>
          </cell>
          <cell r="B1078">
            <v>314.61734755097632</v>
          </cell>
        </row>
        <row r="1079">
          <cell r="A1079">
            <v>44945</v>
          </cell>
          <cell r="B1079">
            <v>312.31342350676306</v>
          </cell>
        </row>
        <row r="1080">
          <cell r="A1080">
            <v>44946</v>
          </cell>
          <cell r="B1080">
            <v>314.57672132262218</v>
          </cell>
        </row>
        <row r="1081">
          <cell r="A1081">
            <v>44949</v>
          </cell>
          <cell r="B1081">
            <v>317.53015216569639</v>
          </cell>
        </row>
        <row r="1082">
          <cell r="A1082">
            <v>44950</v>
          </cell>
          <cell r="B1082">
            <v>318.67852757300739</v>
          </cell>
        </row>
        <row r="1083">
          <cell r="A1083">
            <v>44951</v>
          </cell>
          <cell r="B1083">
            <v>318.9671292958364</v>
          </cell>
        </row>
        <row r="1084">
          <cell r="A1084">
            <v>44953</v>
          </cell>
          <cell r="B1084">
            <v>325.25527420043409</v>
          </cell>
        </row>
        <row r="1085">
          <cell r="A1085">
            <v>44956</v>
          </cell>
          <cell r="B1085">
            <v>324.20134704714667</v>
          </cell>
        </row>
        <row r="1086">
          <cell r="A1086">
            <v>44957</v>
          </cell>
          <cell r="B1086">
            <v>331.21746337552077</v>
          </cell>
        </row>
        <row r="1087">
          <cell r="A1087">
            <v>44958</v>
          </cell>
          <cell r="B1087">
            <v>339.71269383768373</v>
          </cell>
        </row>
        <row r="1088">
          <cell r="A1088">
            <v>44959</v>
          </cell>
          <cell r="B1088">
            <v>355.80063889588564</v>
          </cell>
        </row>
        <row r="1089">
          <cell r="A1089">
            <v>44960</v>
          </cell>
          <cell r="B1089">
            <v>357.87067498355088</v>
          </cell>
        </row>
        <row r="1090">
          <cell r="A1090">
            <v>44963</v>
          </cell>
          <cell r="B1090">
            <v>360.45404730859377</v>
          </cell>
        </row>
        <row r="1091">
          <cell r="A1091">
            <v>44964</v>
          </cell>
          <cell r="B1091">
            <v>351.03302375129408</v>
          </cell>
        </row>
        <row r="1092">
          <cell r="A1092">
            <v>44965</v>
          </cell>
          <cell r="B1092">
            <v>353.07810915723229</v>
          </cell>
        </row>
        <row r="1093">
          <cell r="A1093">
            <v>44966</v>
          </cell>
          <cell r="B1093">
            <v>351.89231623106809</v>
          </cell>
        </row>
        <row r="1094">
          <cell r="A1094">
            <v>44967</v>
          </cell>
          <cell r="B1094">
            <v>349.17688662026973</v>
          </cell>
        </row>
        <row r="1095">
          <cell r="A1095">
            <v>44970</v>
          </cell>
          <cell r="B1095">
            <v>351.80291117583943</v>
          </cell>
        </row>
        <row r="1096">
          <cell r="A1096">
            <v>44971</v>
          </cell>
          <cell r="B1096">
            <v>363.23122338995154</v>
          </cell>
        </row>
        <row r="1097">
          <cell r="A1097">
            <v>44972</v>
          </cell>
          <cell r="B1097">
            <v>359.38953284861338</v>
          </cell>
        </row>
        <row r="1098">
          <cell r="A1098">
            <v>44973</v>
          </cell>
          <cell r="B1098">
            <v>359.67676290913386</v>
          </cell>
        </row>
        <row r="1099">
          <cell r="A1099">
            <v>44974</v>
          </cell>
          <cell r="B1099">
            <v>360.47206961446852</v>
          </cell>
        </row>
        <row r="1100">
          <cell r="A1100">
            <v>44977</v>
          </cell>
          <cell r="B1100">
            <v>361.08386157435325</v>
          </cell>
        </row>
        <row r="1101">
          <cell r="A1101">
            <v>44978</v>
          </cell>
          <cell r="B1101">
            <v>359.4168925939519</v>
          </cell>
        </row>
        <row r="1102">
          <cell r="A1102">
            <v>44979</v>
          </cell>
          <cell r="B1102">
            <v>360.8848428366008</v>
          </cell>
        </row>
        <row r="1103">
          <cell r="A1103">
            <v>44980</v>
          </cell>
          <cell r="B1103">
            <v>364.39428935964281</v>
          </cell>
        </row>
        <row r="1104">
          <cell r="A1104">
            <v>44981</v>
          </cell>
          <cell r="B1104">
            <v>362.10317460317458</v>
          </cell>
        </row>
        <row r="1105">
          <cell r="A1105">
            <v>44984</v>
          </cell>
          <cell r="B1105">
            <v>359.37695327149538</v>
          </cell>
        </row>
        <row r="1106">
          <cell r="A1106">
            <v>44985</v>
          </cell>
          <cell r="B1106">
            <v>354.23100926533425</v>
          </cell>
        </row>
        <row r="1107">
          <cell r="A1107">
            <v>44986</v>
          </cell>
          <cell r="B1107">
            <v>356.04112982011952</v>
          </cell>
        </row>
        <row r="1108">
          <cell r="A1108">
            <v>44987</v>
          </cell>
          <cell r="B1108">
            <v>353.12930973270784</v>
          </cell>
        </row>
        <row r="1109">
          <cell r="A1109">
            <v>44988</v>
          </cell>
          <cell r="B1109">
            <v>361.84953761559609</v>
          </cell>
        </row>
        <row r="1110">
          <cell r="A1110">
            <v>44991</v>
          </cell>
          <cell r="B1110">
            <v>364.91971166393188</v>
          </cell>
        </row>
        <row r="1111">
          <cell r="A1111">
            <v>44993</v>
          </cell>
          <cell r="B1111">
            <v>368.89978992289844</v>
          </cell>
        </row>
        <row r="1112">
          <cell r="A1112">
            <v>44994</v>
          </cell>
          <cell r="B1112">
            <v>364.37554694336791</v>
          </cell>
        </row>
        <row r="1113">
          <cell r="A1113">
            <v>44995</v>
          </cell>
          <cell r="B1113">
            <v>364.8052575316521</v>
          </cell>
        </row>
        <row r="1114">
          <cell r="A1114">
            <v>44998</v>
          </cell>
          <cell r="B1114">
            <v>360.76040516537853</v>
          </cell>
        </row>
        <row r="1115">
          <cell r="A1115">
            <v>44999</v>
          </cell>
          <cell r="B1115">
            <v>357.03677478780315</v>
          </cell>
        </row>
        <row r="1116">
          <cell r="A1116">
            <v>45000</v>
          </cell>
          <cell r="B1116">
            <v>356.72285378283027</v>
          </cell>
        </row>
        <row r="1117">
          <cell r="A1117">
            <v>45001</v>
          </cell>
          <cell r="B1117">
            <v>358.63063394576693</v>
          </cell>
        </row>
        <row r="1118">
          <cell r="A1118">
            <v>45002</v>
          </cell>
          <cell r="B1118">
            <v>353.15473898454263</v>
          </cell>
        </row>
        <row r="1119">
          <cell r="A1119">
            <v>45005</v>
          </cell>
          <cell r="B1119">
            <v>356.12901677554055</v>
          </cell>
        </row>
        <row r="1120">
          <cell r="A1120">
            <v>45006</v>
          </cell>
          <cell r="B1120">
            <v>354.43736743100413</v>
          </cell>
        </row>
        <row r="1121">
          <cell r="A1121">
            <v>45007</v>
          </cell>
          <cell r="B1121">
            <v>355.16254158662667</v>
          </cell>
        </row>
        <row r="1122">
          <cell r="A1122">
            <v>45008</v>
          </cell>
          <cell r="B1122">
            <v>357.8624445917664</v>
          </cell>
        </row>
        <row r="1123">
          <cell r="A1123">
            <v>45009</v>
          </cell>
          <cell r="B1123">
            <v>356.07815998615928</v>
          </cell>
        </row>
        <row r="1124">
          <cell r="A1124">
            <v>45012</v>
          </cell>
          <cell r="B1124">
            <v>357.45570177192911</v>
          </cell>
        </row>
        <row r="1125">
          <cell r="A1125">
            <v>45013</v>
          </cell>
          <cell r="B1125">
            <v>357.05428465141586</v>
          </cell>
        </row>
        <row r="1126">
          <cell r="A1126">
            <v>45014</v>
          </cell>
          <cell r="B1126">
            <v>359.8415725157713</v>
          </cell>
        </row>
        <row r="1127">
          <cell r="A1127">
            <v>45016</v>
          </cell>
          <cell r="B1127">
            <v>360.57278854422913</v>
          </cell>
        </row>
        <row r="1128">
          <cell r="A1128">
            <v>45019</v>
          </cell>
          <cell r="B1128">
            <v>356.29275513061566</v>
          </cell>
        </row>
        <row r="1129">
          <cell r="A1129">
            <v>45021</v>
          </cell>
          <cell r="B1129">
            <v>363.22808083999371</v>
          </cell>
        </row>
        <row r="1130">
          <cell r="A1130">
            <v>45022</v>
          </cell>
          <cell r="B1130">
            <v>364.18089547761309</v>
          </cell>
        </row>
        <row r="1131">
          <cell r="A1131">
            <v>45026</v>
          </cell>
          <cell r="B1131">
            <v>365.30867543106166</v>
          </cell>
        </row>
        <row r="1132">
          <cell r="A1132">
            <v>45027</v>
          </cell>
          <cell r="B1132">
            <v>372.25852636293831</v>
          </cell>
        </row>
        <row r="1133">
          <cell r="A1133">
            <v>45028</v>
          </cell>
          <cell r="B1133">
            <v>370.04294266244506</v>
          </cell>
        </row>
        <row r="1134">
          <cell r="A1134">
            <v>45029</v>
          </cell>
          <cell r="B1134">
            <v>371.9306596057005</v>
          </cell>
        </row>
        <row r="1135">
          <cell r="A1135">
            <v>45033</v>
          </cell>
          <cell r="B1135">
            <v>376.18673852506959</v>
          </cell>
        </row>
        <row r="1136">
          <cell r="A1136">
            <v>45034</v>
          </cell>
          <cell r="B1136">
            <v>374.69536250986289</v>
          </cell>
        </row>
        <row r="1137">
          <cell r="A1137">
            <v>45035</v>
          </cell>
          <cell r="B1137">
            <v>374.90775055349673</v>
          </cell>
        </row>
        <row r="1138">
          <cell r="A1138">
            <v>45036</v>
          </cell>
          <cell r="B1138">
            <v>376.35532214243648</v>
          </cell>
        </row>
        <row r="1139">
          <cell r="A1139">
            <v>45037</v>
          </cell>
          <cell r="B1139">
            <v>383.7736290478195</v>
          </cell>
        </row>
        <row r="1140">
          <cell r="A1140">
            <v>45040</v>
          </cell>
          <cell r="B1140">
            <v>384.26577307649615</v>
          </cell>
        </row>
        <row r="1141">
          <cell r="A1141">
            <v>45041</v>
          </cell>
          <cell r="B1141">
            <v>386.92291539592225</v>
          </cell>
        </row>
        <row r="1142">
          <cell r="A1142">
            <v>45042</v>
          </cell>
          <cell r="B1142">
            <v>387.60341074201745</v>
          </cell>
        </row>
        <row r="1143">
          <cell r="A1143">
            <v>45043</v>
          </cell>
          <cell r="B1143">
            <v>391.09441040865278</v>
          </cell>
        </row>
        <row r="1144">
          <cell r="A1144">
            <v>45044</v>
          </cell>
          <cell r="B1144">
            <v>400.017995860952</v>
          </cell>
        </row>
        <row r="1145">
          <cell r="A1145">
            <v>45048</v>
          </cell>
          <cell r="B1145">
            <v>399.09037634978506</v>
          </cell>
        </row>
        <row r="1146">
          <cell r="A1146">
            <v>45049</v>
          </cell>
          <cell r="B1146">
            <v>401.58429860488928</v>
          </cell>
        </row>
        <row r="1147">
          <cell r="A1147">
            <v>45050</v>
          </cell>
          <cell r="B1147">
            <v>399.24395463727825</v>
          </cell>
        </row>
        <row r="1148">
          <cell r="A1148">
            <v>45051</v>
          </cell>
          <cell r="B1148">
            <v>403.08049811118514</v>
          </cell>
        </row>
        <row r="1149">
          <cell r="A1149">
            <v>45054</v>
          </cell>
          <cell r="B1149">
            <v>405.63444502996316</v>
          </cell>
        </row>
        <row r="1150">
          <cell r="A1150">
            <v>45055</v>
          </cell>
          <cell r="B1150">
            <v>398.53053990556327</v>
          </cell>
        </row>
        <row r="1151">
          <cell r="A1151">
            <v>45056</v>
          </cell>
          <cell r="B1151">
            <v>399.90520350747022</v>
          </cell>
        </row>
        <row r="1152">
          <cell r="A1152">
            <v>45057</v>
          </cell>
          <cell r="B1152">
            <v>395.31585663937017</v>
          </cell>
        </row>
        <row r="1153">
          <cell r="A1153">
            <v>45058</v>
          </cell>
          <cell r="B1153">
            <v>395.31960468039534</v>
          </cell>
        </row>
        <row r="1154">
          <cell r="A1154">
            <v>45061</v>
          </cell>
          <cell r="B1154">
            <v>402.15962206613841</v>
          </cell>
        </row>
        <row r="1155">
          <cell r="A1155">
            <v>45062</v>
          </cell>
          <cell r="B1155">
            <v>398.64587812903164</v>
          </cell>
        </row>
        <row r="1156">
          <cell r="A1156">
            <v>45063</v>
          </cell>
          <cell r="B1156">
            <v>402.00542753323214</v>
          </cell>
        </row>
        <row r="1157">
          <cell r="A1157">
            <v>45064</v>
          </cell>
          <cell r="B1157">
            <v>394.68301635802624</v>
          </cell>
        </row>
        <row r="1158">
          <cell r="A1158">
            <v>45065</v>
          </cell>
          <cell r="B1158">
            <v>394.74842100631599</v>
          </cell>
        </row>
        <row r="1159">
          <cell r="A1159">
            <v>45068</v>
          </cell>
          <cell r="B1159">
            <v>399.31328034619952</v>
          </cell>
        </row>
        <row r="1160">
          <cell r="A1160">
            <v>45069</v>
          </cell>
          <cell r="B1160">
            <v>403.45804036380213</v>
          </cell>
        </row>
        <row r="1161">
          <cell r="A1161">
            <v>45070</v>
          </cell>
          <cell r="B1161">
            <v>407.54883756740571</v>
          </cell>
        </row>
        <row r="1162">
          <cell r="A1162">
            <v>45071</v>
          </cell>
          <cell r="B1162">
            <v>414.70701156596436</v>
          </cell>
        </row>
        <row r="1163">
          <cell r="A1163">
            <v>45072</v>
          </cell>
          <cell r="B1163">
            <v>417.05664482788961</v>
          </cell>
        </row>
        <row r="1164">
          <cell r="A1164">
            <v>45075</v>
          </cell>
          <cell r="B1164">
            <v>422.197647491711</v>
          </cell>
        </row>
        <row r="1165">
          <cell r="A1165">
            <v>45076</v>
          </cell>
          <cell r="B1165">
            <v>425.57595392368609</v>
          </cell>
        </row>
        <row r="1166">
          <cell r="A1166">
            <v>45077</v>
          </cell>
          <cell r="B1166">
            <v>421.49130614800254</v>
          </cell>
        </row>
        <row r="1167">
          <cell r="A1167">
            <v>45078</v>
          </cell>
          <cell r="B1167">
            <v>416.01408183063796</v>
          </cell>
        </row>
        <row r="1168">
          <cell r="A1168">
            <v>45079</v>
          </cell>
          <cell r="B1168">
            <v>419.42476831946118</v>
          </cell>
        </row>
        <row r="1169">
          <cell r="A1169">
            <v>45082</v>
          </cell>
          <cell r="B1169">
            <v>416.88584692250919</v>
          </cell>
        </row>
        <row r="1170">
          <cell r="A1170">
            <v>45083</v>
          </cell>
          <cell r="B1170">
            <v>418.86947539570559</v>
          </cell>
        </row>
        <row r="1171">
          <cell r="A1171">
            <v>45084</v>
          </cell>
          <cell r="B1171">
            <v>419.96908080389909</v>
          </cell>
        </row>
        <row r="1172">
          <cell r="A1172">
            <v>45085</v>
          </cell>
          <cell r="B1172">
            <v>419.00005600134403</v>
          </cell>
        </row>
        <row r="1173">
          <cell r="A1173">
            <v>45086</v>
          </cell>
          <cell r="B1173">
            <v>414.82148214821478</v>
          </cell>
        </row>
        <row r="1174">
          <cell r="A1174">
            <v>45089</v>
          </cell>
          <cell r="B1174">
            <v>413.37405471786042</v>
          </cell>
        </row>
        <row r="1175">
          <cell r="A1175">
            <v>45090</v>
          </cell>
          <cell r="B1175">
            <v>421.26869514183761</v>
          </cell>
        </row>
        <row r="1176">
          <cell r="A1176">
            <v>45091</v>
          </cell>
          <cell r="B1176">
            <v>420.5084101682034</v>
          </cell>
        </row>
        <row r="1177">
          <cell r="A1177">
            <v>45092</v>
          </cell>
          <cell r="B1177">
            <v>423.87566607104827</v>
          </cell>
        </row>
        <row r="1178">
          <cell r="A1178">
            <v>45093</v>
          </cell>
          <cell r="B1178">
            <v>428.59199769625803</v>
          </cell>
        </row>
        <row r="1179">
          <cell r="A1179">
            <v>45096</v>
          </cell>
          <cell r="B1179">
            <v>429.10527984192174</v>
          </cell>
        </row>
        <row r="1180">
          <cell r="A1180">
            <v>45097</v>
          </cell>
          <cell r="B1180">
            <v>428.4072829238097</v>
          </cell>
        </row>
        <row r="1181">
          <cell r="A1181">
            <v>45098</v>
          </cell>
          <cell r="B1181">
            <v>422.97414069000837</v>
          </cell>
        </row>
        <row r="1182">
          <cell r="A1182">
            <v>45099</v>
          </cell>
          <cell r="B1182">
            <v>423.4744948315672</v>
          </cell>
        </row>
        <row r="1183">
          <cell r="A1183">
            <v>45100</v>
          </cell>
          <cell r="B1183">
            <v>420.76734987774205</v>
          </cell>
        </row>
        <row r="1184">
          <cell r="A1184">
            <v>45103</v>
          </cell>
          <cell r="B1184">
            <v>421.63114574593931</v>
          </cell>
        </row>
        <row r="1185">
          <cell r="A1185">
            <v>45104</v>
          </cell>
          <cell r="B1185">
            <v>421.07547398116179</v>
          </cell>
        </row>
        <row r="1186">
          <cell r="A1186">
            <v>45105</v>
          </cell>
          <cell r="B1186">
            <v>425.04962028607281</v>
          </cell>
        </row>
        <row r="1187">
          <cell r="A1187">
            <v>45107</v>
          </cell>
          <cell r="B1187">
            <v>427.19864006799656</v>
          </cell>
        </row>
        <row r="1188">
          <cell r="A1188">
            <v>45110</v>
          </cell>
          <cell r="B1188">
            <v>438.12696324348315</v>
          </cell>
        </row>
        <row r="1189">
          <cell r="A1189">
            <v>45111</v>
          </cell>
          <cell r="B1189">
            <v>441.14044359027946</v>
          </cell>
        </row>
        <row r="1190">
          <cell r="A1190">
            <v>45112</v>
          </cell>
          <cell r="B1190">
            <v>449.36551928237486</v>
          </cell>
        </row>
        <row r="1191">
          <cell r="A1191">
            <v>45113</v>
          </cell>
          <cell r="B1191">
            <v>448.33120828020702</v>
          </cell>
        </row>
        <row r="1192">
          <cell r="A1192">
            <v>45114</v>
          </cell>
          <cell r="B1192">
            <v>443.16140672317988</v>
          </cell>
        </row>
        <row r="1193">
          <cell r="A1193">
            <v>45117</v>
          </cell>
          <cell r="B1193">
            <v>440.72379908515057</v>
          </cell>
        </row>
        <row r="1194">
          <cell r="A1194">
            <v>45118</v>
          </cell>
          <cell r="B1194">
            <v>447.53973626140697</v>
          </cell>
        </row>
        <row r="1195">
          <cell r="A1195">
            <v>45119</v>
          </cell>
          <cell r="B1195">
            <v>446.80804254476578</v>
          </cell>
        </row>
        <row r="1196">
          <cell r="A1196">
            <v>45120</v>
          </cell>
          <cell r="B1196">
            <v>446.52267913607477</v>
          </cell>
        </row>
        <row r="1197">
          <cell r="A1197">
            <v>45121</v>
          </cell>
          <cell r="B1197">
            <v>447.36150013149751</v>
          </cell>
        </row>
        <row r="1198">
          <cell r="A1198">
            <v>45124</v>
          </cell>
          <cell r="B1198">
            <v>446.85536226434721</v>
          </cell>
        </row>
        <row r="1199">
          <cell r="A1199">
            <v>45125</v>
          </cell>
          <cell r="B1199">
            <v>446.98865903402293</v>
          </cell>
        </row>
        <row r="1200">
          <cell r="A1200">
            <v>45126</v>
          </cell>
          <cell r="B1200">
            <v>452.93930613297812</v>
          </cell>
        </row>
        <row r="1201">
          <cell r="A1201">
            <v>45127</v>
          </cell>
          <cell r="B1201">
            <v>465.45060473188454</v>
          </cell>
        </row>
        <row r="1202">
          <cell r="A1202">
            <v>45128</v>
          </cell>
          <cell r="B1202">
            <v>463.98623951838317</v>
          </cell>
        </row>
        <row r="1203">
          <cell r="A1203">
            <v>45131</v>
          </cell>
          <cell r="B1203">
            <v>446.07352260029148</v>
          </cell>
        </row>
        <row r="1204">
          <cell r="A1204">
            <v>45132</v>
          </cell>
          <cell r="B1204">
            <v>437.42398540519775</v>
          </cell>
        </row>
        <row r="1205">
          <cell r="A1205">
            <v>45133</v>
          </cell>
          <cell r="B1205">
            <v>446.66396724704185</v>
          </cell>
        </row>
        <row r="1206">
          <cell r="A1206">
            <v>45134</v>
          </cell>
          <cell r="B1206">
            <v>440.00688104591899</v>
          </cell>
        </row>
        <row r="1207">
          <cell r="A1207">
            <v>45135</v>
          </cell>
          <cell r="B1207">
            <v>443.12765168142727</v>
          </cell>
        </row>
        <row r="1208">
          <cell r="A1208">
            <v>45138</v>
          </cell>
          <cell r="B1208">
            <v>440.58599457367984</v>
          </cell>
        </row>
        <row r="1209">
          <cell r="A1209">
            <v>45139</v>
          </cell>
          <cell r="B1209">
            <v>439.71835464873828</v>
          </cell>
        </row>
        <row r="1210">
          <cell r="A1210">
            <v>45140</v>
          </cell>
          <cell r="B1210">
            <v>435.30396570053574</v>
          </cell>
        </row>
        <row r="1211">
          <cell r="A1211">
            <v>45141</v>
          </cell>
          <cell r="B1211">
            <v>431.46796918128797</v>
          </cell>
        </row>
        <row r="1212">
          <cell r="A1212">
            <v>45142</v>
          </cell>
          <cell r="B1212">
            <v>430.40032960791058</v>
          </cell>
        </row>
        <row r="1213">
          <cell r="A1213">
            <v>45145</v>
          </cell>
          <cell r="B1213">
            <v>430.34043034043032</v>
          </cell>
        </row>
        <row r="1214">
          <cell r="A1214">
            <v>45146</v>
          </cell>
          <cell r="B1214">
            <v>427.95396542206362</v>
          </cell>
        </row>
        <row r="1215">
          <cell r="A1215">
            <v>45147</v>
          </cell>
          <cell r="B1215">
            <v>433.8296976720236</v>
          </cell>
        </row>
        <row r="1216">
          <cell r="A1216">
            <v>45148</v>
          </cell>
          <cell r="B1216">
            <v>427.42411361704256</v>
          </cell>
        </row>
        <row r="1217">
          <cell r="A1217">
            <v>45149</v>
          </cell>
          <cell r="B1217">
            <v>424.54802016933115</v>
          </cell>
        </row>
        <row r="1218">
          <cell r="A1218">
            <v>45152</v>
          </cell>
          <cell r="B1218">
            <v>424.94575054249452</v>
          </cell>
        </row>
        <row r="1219">
          <cell r="A1219">
            <v>45154</v>
          </cell>
          <cell r="B1219">
            <v>425.93020360531705</v>
          </cell>
        </row>
        <row r="1220">
          <cell r="A1220">
            <v>45155</v>
          </cell>
          <cell r="B1220">
            <v>417.27554148600461</v>
          </cell>
        </row>
        <row r="1221">
          <cell r="A1221">
            <v>45156</v>
          </cell>
          <cell r="B1221">
            <v>417.80373294400579</v>
          </cell>
        </row>
        <row r="1222">
          <cell r="A1222">
            <v>45159</v>
          </cell>
          <cell r="B1222">
            <v>423.57112361381775</v>
          </cell>
        </row>
        <row r="1223">
          <cell r="A1223">
            <v>45160</v>
          </cell>
          <cell r="B1223">
            <v>429.66812778959837</v>
          </cell>
        </row>
        <row r="1224">
          <cell r="A1224">
            <v>45161</v>
          </cell>
          <cell r="B1224">
            <v>426.16579792702584</v>
          </cell>
        </row>
        <row r="1225">
          <cell r="A1225">
            <v>45162</v>
          </cell>
          <cell r="B1225">
            <v>426.55573444265553</v>
          </cell>
        </row>
        <row r="1226">
          <cell r="A1226">
            <v>45163</v>
          </cell>
          <cell r="B1226">
            <v>419.49005483915818</v>
          </cell>
        </row>
        <row r="1227">
          <cell r="A1227">
            <v>45166</v>
          </cell>
          <cell r="B1227">
            <v>417.58837388845109</v>
          </cell>
        </row>
        <row r="1228">
          <cell r="A1228">
            <v>45167</v>
          </cell>
          <cell r="B1228">
            <v>416.35207421015207</v>
          </cell>
        </row>
        <row r="1229">
          <cell r="A1229">
            <v>45168</v>
          </cell>
          <cell r="B1229">
            <v>418.86444926859457</v>
          </cell>
        </row>
        <row r="1230">
          <cell r="A1230">
            <v>45169</v>
          </cell>
          <cell r="B1230">
            <v>415.98911923834669</v>
          </cell>
        </row>
        <row r="1231">
          <cell r="A1231">
            <v>45170</v>
          </cell>
          <cell r="B1231">
            <v>417.22706596095526</v>
          </cell>
        </row>
        <row r="1232">
          <cell r="A1232">
            <v>45173</v>
          </cell>
          <cell r="B1232">
            <v>413.91311304904389</v>
          </cell>
        </row>
        <row r="1233">
          <cell r="A1233">
            <v>45174</v>
          </cell>
          <cell r="B1233">
            <v>419.12635182696619</v>
          </cell>
        </row>
        <row r="1234">
          <cell r="A1234">
            <v>45175</v>
          </cell>
          <cell r="B1234">
            <v>423.24852164487885</v>
          </cell>
        </row>
        <row r="1235">
          <cell r="A1235">
            <v>45176</v>
          </cell>
          <cell r="B1235">
            <v>421.84476456675981</v>
          </cell>
        </row>
        <row r="1236">
          <cell r="A1236">
            <v>45177</v>
          </cell>
          <cell r="B1236">
            <v>418.78057098168165</v>
          </cell>
        </row>
        <row r="1237">
          <cell r="A1237">
            <v>45180</v>
          </cell>
          <cell r="B1237">
            <v>423.01642930778132</v>
          </cell>
        </row>
        <row r="1238">
          <cell r="A1238">
            <v>45181</v>
          </cell>
          <cell r="B1238">
            <v>426.75244578477094</v>
          </cell>
        </row>
        <row r="1239">
          <cell r="A1239">
            <v>45182</v>
          </cell>
          <cell r="B1239">
            <v>428.99769212000979</v>
          </cell>
        </row>
      </sheetData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3"/>
  <sheetViews>
    <sheetView workbookViewId="0">
      <selection activeCell="D4" sqref="D4"/>
    </sheetView>
  </sheetViews>
  <sheetFormatPr defaultRowHeight="14.4"/>
  <cols>
    <col min="4" max="4" width="42.33203125" customWidth="1"/>
  </cols>
  <sheetData>
    <row r="3" spans="2:4" ht="101.4" customHeight="1">
      <c r="B3" t="s">
        <v>93</v>
      </c>
      <c r="D3" s="33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showGridLines="0" tabSelected="1" view="pageBreakPreview" zoomScale="60" zoomScaleNormal="72" workbookViewId="0">
      <selection activeCell="I82" sqref="I60:I82"/>
    </sheetView>
  </sheetViews>
  <sheetFormatPr defaultRowHeight="14.4"/>
  <cols>
    <col min="1" max="1" width="1.88671875" customWidth="1"/>
    <col min="2" max="2" width="29.109375" customWidth="1"/>
    <col min="3" max="3" width="12.109375" customWidth="1"/>
    <col min="4" max="4" width="14.5546875" customWidth="1"/>
    <col min="5" max="5" width="17.5546875" bestFit="1" customWidth="1"/>
    <col min="6" max="6" width="18.21875" bestFit="1" customWidth="1"/>
    <col min="7" max="7" width="21.5546875" bestFit="1" customWidth="1"/>
    <col min="8" max="8" width="0.77734375" customWidth="1"/>
    <col min="12" max="12" width="12" bestFit="1" customWidth="1"/>
    <col min="13" max="13" width="13.5546875" bestFit="1" customWidth="1"/>
  </cols>
  <sheetData>
    <row r="2" spans="2:13" ht="18">
      <c r="B2" s="75" t="str">
        <f>'Data Sheet'!B1&amp;" - "&amp;"One Page Profile"</f>
        <v>ITC LTD - One Page Profile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2:13" ht="18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2:13" ht="96.6" customHeight="1">
      <c r="B4" s="35"/>
      <c r="C4" s="76" t="str">
        <f>'Input Sheet'!D3</f>
        <v xml:space="preserve">ITC Limited is an Indian conglomerate, headquartered in Kolkata. It has a presence across six business segments, namely FMCG, agribusiness, information technology, paper products, and packaging. It generates a plurality of its revenue from tobacco products.
In terms of market capitalization, ITC is the second-largest FMCG company in India and the third-largest tobacco company in the world. It employs 36,500 people at more than 60 locations across India.
</v>
      </c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2:13">
      <c r="B5" s="94" t="s">
        <v>97</v>
      </c>
    </row>
    <row r="6" spans="2:13">
      <c r="B6" s="32" t="s">
        <v>95</v>
      </c>
      <c r="C6" s="36">
        <f>'Profit &amp; Loss'!E3</f>
        <v>43555</v>
      </c>
      <c r="D6" s="36">
        <f>'Profit &amp; Loss'!F3</f>
        <v>43921</v>
      </c>
      <c r="E6" s="36">
        <f>'Profit &amp; Loss'!G3</f>
        <v>44286</v>
      </c>
      <c r="F6" s="36">
        <f>'Profit &amp; Loss'!H3</f>
        <v>44651</v>
      </c>
      <c r="G6" s="36">
        <f>'Profit &amp; Loss'!I3</f>
        <v>45016</v>
      </c>
      <c r="H6" s="47"/>
      <c r="I6" s="74" t="s">
        <v>116</v>
      </c>
      <c r="J6" s="74"/>
      <c r="K6" s="74"/>
      <c r="L6" s="74"/>
      <c r="M6" s="74"/>
    </row>
    <row r="8" spans="2:13">
      <c r="B8" s="79" t="s">
        <v>96</v>
      </c>
      <c r="C8" s="80">
        <f>'Profit &amp; Loss'!E4</f>
        <v>48339.58</v>
      </c>
      <c r="D8" s="80">
        <f>'Profit &amp; Loss'!F4</f>
        <v>49387.7</v>
      </c>
      <c r="E8" s="80">
        <f>'Profit &amp; Loss'!G4</f>
        <v>49257.45</v>
      </c>
      <c r="F8" s="80">
        <f>'Profit &amp; Loss'!H4</f>
        <v>60644.54</v>
      </c>
      <c r="G8" s="80">
        <f>'Profit &amp; Loss'!I4</f>
        <v>70919.03</v>
      </c>
      <c r="H8" s="38"/>
    </row>
    <row r="9" spans="2:13">
      <c r="B9" s="81" t="s">
        <v>98</v>
      </c>
      <c r="C9" s="82">
        <f>'Profit &amp; Loss'!E27</f>
        <v>0.11256062863673999</v>
      </c>
      <c r="D9" s="82">
        <f>'Profit &amp; Loss'!F27</f>
        <v>2.1682439110972673E-2</v>
      </c>
      <c r="E9" s="82">
        <f>'Profit &amp; Loss'!G27</f>
        <v>-2.6372963308678443E-3</v>
      </c>
      <c r="F9" s="82">
        <f>'Profit &amp; Loss'!H27</f>
        <v>0.23117497962237188</v>
      </c>
      <c r="G9" s="82">
        <f>'Profit &amp; Loss'!I27</f>
        <v>0.1694215175842706</v>
      </c>
      <c r="H9" s="44"/>
    </row>
    <row r="10" spans="2:13">
      <c r="B10" s="79" t="s">
        <v>103</v>
      </c>
      <c r="C10" s="83">
        <f>'Profit &amp; Loss'!E30</f>
        <v>0.57706603987870819</v>
      </c>
      <c r="D10" s="83">
        <f>'Profit &amp; Loss'!F30</f>
        <v>0.565866197454022</v>
      </c>
      <c r="E10" s="83">
        <f>'Profit &amp; Loss'!G30</f>
        <v>0.51867747924425645</v>
      </c>
      <c r="F10" s="83">
        <f>'Profit &amp; Loss'!H30</f>
        <v>0.49650026201864172</v>
      </c>
      <c r="G10" s="83">
        <f>'Profit &amp; Loss'!I30</f>
        <v>0.53068887152009836</v>
      </c>
      <c r="H10" s="43"/>
    </row>
    <row r="11" spans="2:13">
      <c r="B11" s="79" t="s">
        <v>105</v>
      </c>
      <c r="C11" s="84">
        <f>'Profit &amp; Loss'!E31</f>
        <v>0.38348264507056129</v>
      </c>
      <c r="D11" s="84">
        <f>'Profit &amp; Loss'!F31</f>
        <v>0.39166715599228147</v>
      </c>
      <c r="E11" s="84">
        <f>'Profit &amp; Loss'!G31</f>
        <v>0.34644058919006154</v>
      </c>
      <c r="F11" s="84">
        <f>'Profit &amp; Loss'!H31</f>
        <v>0.3400660636555245</v>
      </c>
      <c r="G11" s="84">
        <f>'Profit &amp; Loss'!I31</f>
        <v>0.36244517162741785</v>
      </c>
      <c r="H11" s="39"/>
    </row>
    <row r="12" spans="2:13">
      <c r="B12" s="79" t="s">
        <v>106</v>
      </c>
      <c r="C12" s="84">
        <f>'Profit &amp; Loss'!E32</f>
        <v>0.35459099975630737</v>
      </c>
      <c r="D12" s="84">
        <f>'Profit &amp; Loss'!F32</f>
        <v>0.35836108990700111</v>
      </c>
      <c r="E12" s="84">
        <f>'Profit &amp; Loss'!G32</f>
        <v>0.31303264785326884</v>
      </c>
      <c r="F12" s="84">
        <f>'Profit &amp; Loss'!H32</f>
        <v>0.3114994358931571</v>
      </c>
      <c r="G12" s="84">
        <f>'Profit &amp; Loss'!I32</f>
        <v>0.33693706752616326</v>
      </c>
      <c r="H12" s="39"/>
    </row>
    <row r="13" spans="2:13">
      <c r="B13" s="79" t="s">
        <v>107</v>
      </c>
      <c r="C13" s="83">
        <f>'Profit &amp; Loss'!E33</f>
        <v>0.26049729848707825</v>
      </c>
      <c r="D13" s="83">
        <f>'Profit &amp; Loss'!F33</f>
        <v>0.30991987883622846</v>
      </c>
      <c r="E13" s="83">
        <f>'Profit &amp; Loss'!G33</f>
        <v>0.26719186640802561</v>
      </c>
      <c r="F13" s="83">
        <f>'Profit &amp; Loss'!H33</f>
        <v>0.25134430898478244</v>
      </c>
      <c r="G13" s="83">
        <f>'Profit &amp; Loss'!I33</f>
        <v>0.27061368436652333</v>
      </c>
      <c r="H13" s="43"/>
    </row>
    <row r="14" spans="2:13">
      <c r="B14" s="79" t="s">
        <v>108</v>
      </c>
      <c r="C14" s="85">
        <f>'Profit &amp; Loss'!E13</f>
        <v>10.272241528396393</v>
      </c>
      <c r="D14" s="85">
        <f>'Profit &amp; Loss'!F13</f>
        <v>12.451985812141032</v>
      </c>
      <c r="E14" s="85">
        <f>'Profit &amp; Loss'!G13</f>
        <v>10.692504549590536</v>
      </c>
      <c r="F14" s="85">
        <f>'Profit &amp; Loss'!H13</f>
        <v>12.368975842509718</v>
      </c>
      <c r="G14" s="85">
        <f>'Profit &amp; Loss'!I13</f>
        <v>15.442275506919859</v>
      </c>
      <c r="H14" s="37"/>
    </row>
    <row r="15" spans="2:13">
      <c r="B15" s="81" t="s">
        <v>109</v>
      </c>
      <c r="C15" s="86">
        <f>'Profit &amp; Loss'!E36</f>
        <v>0.11226415363943576</v>
      </c>
      <c r="D15" s="86">
        <f>'Profit &amp; Loss'!F36</f>
        <v>0.21219753037533184</v>
      </c>
      <c r="E15" s="86">
        <f>'Profit &amp; Loss'!G36</f>
        <v>-0.14130125821657724</v>
      </c>
      <c r="F15" s="86">
        <f>'Profit &amp; Loss'!H36</f>
        <v>0.15678939252669122</v>
      </c>
      <c r="G15" s="86">
        <f>'Profit &amp; Loss'!I36</f>
        <v>0.24846840219768396</v>
      </c>
      <c r="H15" s="45"/>
    </row>
    <row r="16" spans="2:13">
      <c r="B16" s="79" t="s">
        <v>111</v>
      </c>
      <c r="C16" s="85">
        <f>'Profit &amp; Loss'!E38</f>
        <v>5.7500040787691908</v>
      </c>
      <c r="D16" s="85">
        <f>'Profit &amp; Loss'!F38</f>
        <v>10.149997559427931</v>
      </c>
      <c r="E16" s="85">
        <f>'Profit &amp; Loss'!G38</f>
        <v>10.749999999999998</v>
      </c>
      <c r="F16" s="85">
        <f>'Profit &amp; Loss'!H38</f>
        <v>11.500004057354767</v>
      </c>
      <c r="G16" s="85">
        <f>'Profit &amp; Loss'!I38</f>
        <v>15.500000000000004</v>
      </c>
      <c r="H16" s="37"/>
    </row>
    <row r="17" spans="2:13">
      <c r="B17" s="81" t="s">
        <v>112</v>
      </c>
      <c r="C17" s="86">
        <f>'Profit &amp; Loss'!E39</f>
        <v>0.11650644574362401</v>
      </c>
      <c r="D17" s="86">
        <f>'Profit &amp; Loss'!F39</f>
        <v>0.76521571469921024</v>
      </c>
      <c r="E17" s="86">
        <f>'Profit &amp; Loss'!G39</f>
        <v>5.9113555156941722E-2</v>
      </c>
      <c r="F17" s="86">
        <f>'Profit &amp; Loss'!H39</f>
        <v>6.9767819288815591E-2</v>
      </c>
      <c r="G17" s="86">
        <f>'Profit &amp; Loss'!I39</f>
        <v>0.34782561142550739</v>
      </c>
      <c r="H17" s="45"/>
    </row>
    <row r="19" spans="2:13">
      <c r="B19" s="32" t="s">
        <v>95</v>
      </c>
      <c r="C19" s="36">
        <f>C6</f>
        <v>43555</v>
      </c>
      <c r="D19" s="36">
        <f>D6</f>
        <v>43921</v>
      </c>
      <c r="E19" s="36">
        <f>E6</f>
        <v>44286</v>
      </c>
      <c r="F19" s="36">
        <f>F6</f>
        <v>44651</v>
      </c>
      <c r="G19" s="36">
        <f>G6</f>
        <v>45016</v>
      </c>
      <c r="I19" s="74" t="s">
        <v>1133</v>
      </c>
      <c r="J19" s="74"/>
      <c r="K19" s="74"/>
      <c r="L19" s="74"/>
      <c r="M19" s="74"/>
    </row>
    <row r="21" spans="2:13">
      <c r="B21" s="79" t="s">
        <v>125</v>
      </c>
      <c r="C21" s="87">
        <f>'Profit &amp; Loss'!E14</f>
        <v>27.125530414148926</v>
      </c>
      <c r="D21" s="87">
        <f>'Profit &amp; Loss'!F14</f>
        <v>12.925649163771876</v>
      </c>
      <c r="E21" s="87">
        <f>'Profit &amp; Loss'!G14</f>
        <v>19.155474664525016</v>
      </c>
      <c r="F21" s="87">
        <f>'Profit &amp; Loss'!H14</f>
        <v>18.995913889045614</v>
      </c>
      <c r="G21" s="87">
        <f>'Profit &amp; Loss'!I14</f>
        <v>23.279600201337455</v>
      </c>
      <c r="H21" s="79"/>
    </row>
    <row r="22" spans="2:13">
      <c r="B22" s="79" t="s">
        <v>126</v>
      </c>
      <c r="C22" s="87">
        <f>'Profit &amp; Loss'!E48</f>
        <v>18.202942291228695</v>
      </c>
      <c r="D22" s="87">
        <f>'Profit &amp; Loss'!F48</f>
        <v>9.8659846646477352</v>
      </c>
      <c r="E22" s="87">
        <f>'Profit &amp; Loss'!G48</f>
        <v>14.516486681926171</v>
      </c>
      <c r="F22" s="87">
        <f>'Profit &amp; Loss'!H48</f>
        <v>13.826368755500493</v>
      </c>
      <c r="G22" s="87">
        <f>'Profit &amp; Loss'!I48</f>
        <v>17.203374926957636</v>
      </c>
      <c r="H22" s="79"/>
    </row>
    <row r="23" spans="2:13">
      <c r="B23" s="79" t="s">
        <v>127</v>
      </c>
      <c r="C23" s="87">
        <f>'Profit &amp; Loss'!E49</f>
        <v>6.9805124579071629</v>
      </c>
      <c r="D23" s="87">
        <f>'Profit &amp; Loss'!F49</f>
        <v>3.8641821546660409</v>
      </c>
      <c r="E23" s="87">
        <f>'Profit &amp; Loss'!G49</f>
        <v>5.0291001990561837</v>
      </c>
      <c r="F23" s="87">
        <f>'Profit &amp; Loss'!H49</f>
        <v>4.7018787973327854</v>
      </c>
      <c r="G23" s="87">
        <f>'Profit &amp; Loss'!I49</f>
        <v>6.2352801779719771</v>
      </c>
      <c r="H23" s="79"/>
    </row>
    <row r="24" spans="2:13">
      <c r="B24" s="79" t="s">
        <v>128</v>
      </c>
      <c r="C24" s="87">
        <f>'Profit &amp; Loss'!E51</f>
        <v>5.7056150915602011</v>
      </c>
      <c r="D24" s="87">
        <f>'Profit &amp; Loss'!F51</f>
        <v>2.9237557462274752</v>
      </c>
      <c r="E24" s="87">
        <f>'Profit &amp; Loss'!G51</f>
        <v>4.1049141784874035</v>
      </c>
      <c r="F24" s="87">
        <f>'Profit &amp; Loss'!H51</f>
        <v>4.5655379784381118</v>
      </c>
      <c r="G24" s="87">
        <f>'Profit &amp; Loss'!I51</f>
        <v>6.3943078516370253</v>
      </c>
      <c r="H24" s="79"/>
    </row>
    <row r="25" spans="2:13">
      <c r="B25" s="79" t="s">
        <v>129</v>
      </c>
      <c r="C25" s="88">
        <v>0.21</v>
      </c>
      <c r="D25" s="88">
        <v>0.23</v>
      </c>
      <c r="E25" s="88">
        <v>0.24</v>
      </c>
      <c r="F25" s="88">
        <v>0.24</v>
      </c>
      <c r="G25" s="88">
        <v>0.28000000000000003</v>
      </c>
      <c r="H25" s="79"/>
    </row>
    <row r="26" spans="2:13">
      <c r="B26" s="79" t="s">
        <v>130</v>
      </c>
      <c r="C26" s="88">
        <v>0.23</v>
      </c>
      <c r="D26" s="88">
        <v>0.22</v>
      </c>
      <c r="E26" s="88">
        <v>0.24</v>
      </c>
      <c r="F26" s="88">
        <v>0.28000000000000003</v>
      </c>
      <c r="G26" s="88">
        <v>0</v>
      </c>
      <c r="H26" s="79"/>
    </row>
    <row r="28" spans="2:13">
      <c r="B28" s="64" t="s">
        <v>1148</v>
      </c>
      <c r="C28" s="65"/>
      <c r="D28" s="65"/>
      <c r="E28" s="65" t="str">
        <f>Sheet3!K63</f>
        <v>N. Share (in Crs)</v>
      </c>
      <c r="F28" s="65" t="str">
        <f>Sheet3!J63</f>
        <v>Shareholding (%)</v>
      </c>
      <c r="G28" s="65" t="str">
        <f>Sheet3!L63</f>
        <v>Market value (in Crs)</v>
      </c>
      <c r="H28" s="73"/>
      <c r="I28" s="74" t="s">
        <v>1160</v>
      </c>
      <c r="J28" s="74"/>
      <c r="K28" s="74"/>
      <c r="L28" s="74"/>
      <c r="M28" s="74"/>
    </row>
    <row r="29" spans="2:13">
      <c r="B29" s="79" t="str">
        <f>Sheet3!H64</f>
        <v>Tobacco Manufacturers (India) Limited</v>
      </c>
      <c r="C29" s="89"/>
      <c r="D29" s="90"/>
      <c r="E29" s="89">
        <f>Sheet3!K64</f>
        <v>222.8495863</v>
      </c>
      <c r="F29" s="91">
        <f>Sheet3!J64</f>
        <v>17.79</v>
      </c>
      <c r="G29" s="89">
        <f>Sheet3!L64</f>
        <v>101062.28738705</v>
      </c>
    </row>
    <row r="30" spans="2:13">
      <c r="B30" s="79" t="str">
        <f>Sheet3!H65</f>
        <v>Life Insurance Corporation of India</v>
      </c>
      <c r="C30" s="89"/>
      <c r="D30" s="90"/>
      <c r="E30" s="89">
        <f>Sheet3!K65</f>
        <v>198.58072329999999</v>
      </c>
      <c r="F30" s="91">
        <f>Sheet3!J65</f>
        <v>15.86</v>
      </c>
      <c r="G30" s="89">
        <f>Sheet3!L65</f>
        <v>90056.358016549988</v>
      </c>
    </row>
    <row r="31" spans="2:13">
      <c r="B31" s="79" t="str">
        <f>Sheet3!H66</f>
        <v>Specified Undertaking of the Unit Trust of India</v>
      </c>
      <c r="C31" s="89"/>
      <c r="D31" s="90"/>
      <c r="E31" s="89">
        <f>Sheet3!K66</f>
        <v>97.453142700000001</v>
      </c>
      <c r="F31" s="91">
        <f>Sheet3!J66</f>
        <v>7.78</v>
      </c>
      <c r="G31" s="89">
        <f>Sheet3!L66</f>
        <v>44195.000214450003</v>
      </c>
    </row>
    <row r="32" spans="2:13">
      <c r="B32" s="79" t="str">
        <f>Sheet3!H67</f>
        <v>Myddleton Investment Company Limited</v>
      </c>
      <c r="C32" s="89"/>
      <c r="D32" s="90"/>
      <c r="E32" s="89">
        <f>Sheet3!K67</f>
        <v>48.631194000000001</v>
      </c>
      <c r="F32" s="91">
        <f>Sheet3!J67</f>
        <v>3.88</v>
      </c>
      <c r="G32" s="89">
        <f>Sheet3!L67</f>
        <v>22054.246479000001</v>
      </c>
    </row>
    <row r="33" spans="2:13">
      <c r="B33" s="79" t="str">
        <f>Sheet3!H68</f>
        <v>SBI Mutual Funds</v>
      </c>
      <c r="C33" s="89"/>
      <c r="D33" s="90"/>
      <c r="E33" s="89">
        <f>Sheet3!K68</f>
        <v>40.798409499999998</v>
      </c>
      <c r="F33" s="91">
        <f>Sheet3!J68</f>
        <v>3.26</v>
      </c>
      <c r="G33" s="89">
        <f>Sheet3!L68</f>
        <v>18502.078708249999</v>
      </c>
    </row>
    <row r="34" spans="2:13">
      <c r="B34" s="79" t="str">
        <f>Sheet3!H69</f>
        <v>QIB - Insurance Company Registered</v>
      </c>
      <c r="C34" s="89"/>
      <c r="D34" s="90"/>
      <c r="E34" s="89">
        <f>Sheet3!K69</f>
        <v>33.990465800000003</v>
      </c>
      <c r="F34" s="91">
        <f>Sheet3!J69</f>
        <v>2.71</v>
      </c>
      <c r="G34" s="89">
        <f>Sheet3!L69</f>
        <v>15414.676240300001</v>
      </c>
    </row>
    <row r="35" spans="2:13">
      <c r="B35" s="79" t="str">
        <f>Sheet3!H70</f>
        <v>ICICI Prudential Mutual Funds</v>
      </c>
      <c r="C35" s="89"/>
      <c r="D35" s="90"/>
      <c r="E35" s="89">
        <f>Sheet3!K70</f>
        <v>28.535049300000001</v>
      </c>
      <c r="F35" s="91">
        <f>Sheet3!J70</f>
        <v>2.2799999999999998</v>
      </c>
      <c r="G35" s="89">
        <f>Sheet3!L70</f>
        <v>12940.64485755</v>
      </c>
    </row>
    <row r="36" spans="2:13">
      <c r="B36" s="79" t="str">
        <f>Sheet3!H71</f>
        <v>GQG Partners Emerging Markets Equity Fund</v>
      </c>
      <c r="C36" s="89"/>
      <c r="D36" s="90"/>
      <c r="E36" s="89">
        <f>Sheet3!K71</f>
        <v>26.343439799999999</v>
      </c>
      <c r="F36" s="91">
        <f>Sheet3!J71</f>
        <v>2.1</v>
      </c>
      <c r="G36" s="89">
        <f>Sheet3!L71</f>
        <v>11946.7499493</v>
      </c>
    </row>
    <row r="37" spans="2:13">
      <c r="B37" s="79" t="str">
        <f>Sheet3!H72</f>
        <v>General Insurance Corporation of India</v>
      </c>
      <c r="C37" s="89"/>
      <c r="D37" s="90"/>
      <c r="E37" s="89">
        <f>Sheet3!K72</f>
        <v>21.708550800000001</v>
      </c>
      <c r="F37" s="91">
        <f>Sheet3!J72</f>
        <v>1.73</v>
      </c>
      <c r="G37" s="89">
        <f>Sheet3!L72</f>
        <v>9844.8277878000008</v>
      </c>
    </row>
    <row r="38" spans="2:13">
      <c r="B38" s="79" t="str">
        <f>Sheet3!H73</f>
        <v xml:space="preserve">Goldman Sachs Trust II </v>
      </c>
      <c r="C38" s="89"/>
      <c r="D38" s="90"/>
      <c r="E38" s="89">
        <f>Sheet3!K73</f>
        <v>20.709179500000001</v>
      </c>
      <c r="F38" s="91">
        <f>Sheet3!J73</f>
        <v>1.65</v>
      </c>
      <c r="G38" s="89">
        <f>Sheet3!L73</f>
        <v>9391.6129032500012</v>
      </c>
    </row>
    <row r="39" spans="2:13">
      <c r="C39" s="51"/>
    </row>
    <row r="40" spans="2:13">
      <c r="B40" s="64" t="s">
        <v>1148</v>
      </c>
      <c r="C40" s="65"/>
      <c r="D40" s="65"/>
      <c r="E40" s="65" t="s">
        <v>1174</v>
      </c>
      <c r="F40" s="65" t="s">
        <v>1173</v>
      </c>
      <c r="G40" s="65" t="s">
        <v>1175</v>
      </c>
      <c r="I40" s="74" t="s">
        <v>1161</v>
      </c>
      <c r="J40" s="74"/>
      <c r="K40" s="74"/>
      <c r="L40" s="74"/>
      <c r="M40" s="74"/>
    </row>
    <row r="42" spans="2:13">
      <c r="B42" s="79" t="s">
        <v>1169</v>
      </c>
      <c r="C42" s="79"/>
      <c r="D42" s="79"/>
      <c r="E42" s="79" t="s">
        <v>1176</v>
      </c>
      <c r="F42" s="89">
        <v>16.309999999999999</v>
      </c>
      <c r="G42" s="92" t="s">
        <v>1180</v>
      </c>
      <c r="I42" s="95" t="s">
        <v>1162</v>
      </c>
      <c r="J42" s="95"/>
      <c r="K42" s="95"/>
      <c r="L42" s="95"/>
      <c r="M42" s="96">
        <f>'Data Sheet'!B8</f>
        <v>340.25</v>
      </c>
    </row>
    <row r="43" spans="2:13">
      <c r="B43" s="79" t="s">
        <v>1170</v>
      </c>
      <c r="C43" s="79"/>
      <c r="D43" s="79"/>
      <c r="E43" s="79" t="s">
        <v>1178</v>
      </c>
      <c r="F43" s="79">
        <v>8.19</v>
      </c>
      <c r="G43" s="92" t="s">
        <v>1181</v>
      </c>
      <c r="I43" s="95" t="s">
        <v>1163</v>
      </c>
      <c r="J43" s="95"/>
      <c r="K43" s="95"/>
      <c r="L43" s="95"/>
      <c r="M43" s="96">
        <f>'Data Sheet'!B6</f>
        <v>1252.8958412931668</v>
      </c>
    </row>
    <row r="44" spans="2:13">
      <c r="B44" s="79" t="s">
        <v>1171</v>
      </c>
      <c r="C44" s="79"/>
      <c r="D44" s="79"/>
      <c r="E44" s="79" t="s">
        <v>1177</v>
      </c>
      <c r="F44" s="79">
        <v>2</v>
      </c>
      <c r="G44" s="92" t="s">
        <v>1182</v>
      </c>
      <c r="I44" s="97" t="s">
        <v>1164</v>
      </c>
      <c r="J44" s="97"/>
      <c r="K44" s="97"/>
      <c r="L44" s="97"/>
      <c r="M44" s="98">
        <f>M43*M42</f>
        <v>426297.81</v>
      </c>
    </row>
    <row r="45" spans="2:13">
      <c r="B45" s="79" t="s">
        <v>1172</v>
      </c>
      <c r="C45" s="79"/>
      <c r="D45" s="79"/>
      <c r="E45" s="79" t="s">
        <v>1179</v>
      </c>
      <c r="F45" s="79">
        <v>7.58</v>
      </c>
      <c r="G45" s="92" t="s">
        <v>1183</v>
      </c>
      <c r="I45" s="99" t="s">
        <v>1165</v>
      </c>
      <c r="J45" s="100"/>
      <c r="K45" s="100"/>
      <c r="L45" s="100"/>
      <c r="M45" s="96">
        <f>'Data Sheet'!I69*-1</f>
        <v>-4880.1899999999996</v>
      </c>
    </row>
    <row r="46" spans="2:13">
      <c r="C46" s="93"/>
      <c r="D46" s="93"/>
      <c r="E46" s="93"/>
      <c r="F46" s="93"/>
      <c r="G46" s="93"/>
      <c r="I46" s="99" t="s">
        <v>1166</v>
      </c>
      <c r="J46" s="100"/>
      <c r="K46" s="100"/>
      <c r="L46" s="100"/>
      <c r="M46" s="96">
        <f>'Data Sheet'!I59</f>
        <v>306.04000000000002</v>
      </c>
    </row>
    <row r="47" spans="2:13">
      <c r="C47" s="11"/>
      <c r="D47" s="11"/>
      <c r="E47" s="11"/>
      <c r="F47" s="11"/>
      <c r="G47" s="11"/>
      <c r="I47" s="99" t="s">
        <v>1167</v>
      </c>
      <c r="J47" s="100"/>
      <c r="K47" s="100"/>
      <c r="L47" s="100"/>
      <c r="M47" s="96">
        <v>383.53</v>
      </c>
    </row>
    <row r="48" spans="2:13">
      <c r="C48" s="11"/>
      <c r="D48" s="11"/>
      <c r="E48" s="11"/>
      <c r="F48" s="11"/>
      <c r="G48" s="11"/>
      <c r="I48" s="100" t="s">
        <v>1168</v>
      </c>
      <c r="J48" s="100"/>
      <c r="K48" s="100"/>
      <c r="L48" s="100"/>
      <c r="M48" s="96">
        <v>529526</v>
      </c>
    </row>
    <row r="50" spans="2:13" ht="15.6">
      <c r="B50" s="101" t="s">
        <v>1184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</row>
    <row r="52" spans="2:13">
      <c r="B52" s="102" t="s">
        <v>1185</v>
      </c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</row>
    <row r="53" spans="2:13">
      <c r="B53" s="102" t="s">
        <v>1186</v>
      </c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2:13">
      <c r="B54" t="s">
        <v>1187</v>
      </c>
    </row>
    <row r="56" spans="2:13" ht="15.6"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</row>
  </sheetData>
  <mergeCells count="17">
    <mergeCell ref="B50:M50"/>
    <mergeCell ref="B52:M52"/>
    <mergeCell ref="B53:M53"/>
    <mergeCell ref="B56:M56"/>
    <mergeCell ref="I45:L45"/>
    <mergeCell ref="I44:L44"/>
    <mergeCell ref="I46:L46"/>
    <mergeCell ref="I47:L47"/>
    <mergeCell ref="I48:L48"/>
    <mergeCell ref="I28:M28"/>
    <mergeCell ref="I40:M40"/>
    <mergeCell ref="I42:L42"/>
    <mergeCell ref="I43:L43"/>
    <mergeCell ref="B2:M2"/>
    <mergeCell ref="C4:M4"/>
    <mergeCell ref="I6:M6"/>
    <mergeCell ref="I19:M19"/>
  </mergeCells>
  <pageMargins left="0.7" right="0.7" top="0.75" bottom="0.75" header="0.3" footer="0.3"/>
  <pageSetup scale="53" orientation="portrait" r:id="rId1"/>
  <rowBreaks count="1" manualBreakCount="1">
    <brk id="59" max="13" man="1"/>
  </rowBreaks>
  <colBreaks count="1" manualBreakCount="1">
    <brk id="13" max="9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51"/>
  <sheetViews>
    <sheetView zoomScale="120" zoomScaleNormal="120" zoomScaleSheetLayoutView="100" zoomScalePageLayoutView="120" workbookViewId="0">
      <pane xSplit="1" ySplit="4" topLeftCell="B21" activePane="bottomRight" state="frozen"/>
      <selection activeCell="I2" sqref="I2"/>
      <selection pane="topRight" activeCell="I2" sqref="I2"/>
      <selection pane="bottomLeft" activeCell="I2" sqref="I2"/>
      <selection pane="bottomRight" activeCell="C40" sqref="C40"/>
    </sheetView>
  </sheetViews>
  <sheetFormatPr defaultColWidth="8.77734375" defaultRowHeight="14.4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>
      <c r="A1" s="8" t="str">
        <f>'Data Sheet'!B1</f>
        <v>ITC LTD</v>
      </c>
      <c r="H1" t="str">
        <f>UPDATE</f>
        <v/>
      </c>
      <c r="J1" s="3"/>
      <c r="K1" s="3"/>
      <c r="M1" s="8" t="s">
        <v>1</v>
      </c>
    </row>
    <row r="3" spans="1:14" s="2" customFormat="1">
      <c r="A3" s="15" t="s">
        <v>2</v>
      </c>
      <c r="B3" s="16">
        <f>'Data Sheet'!B16</f>
        <v>42460</v>
      </c>
      <c r="C3" s="16">
        <f>'Data Sheet'!C16</f>
        <v>42825</v>
      </c>
      <c r="D3" s="16">
        <f>'Data Sheet'!D16</f>
        <v>43190</v>
      </c>
      <c r="E3" s="16">
        <f>'Data Sheet'!E16</f>
        <v>43555</v>
      </c>
      <c r="F3" s="16">
        <f>'Data Sheet'!F16</f>
        <v>43921</v>
      </c>
      <c r="G3" s="16">
        <f>'Data Sheet'!G16</f>
        <v>44286</v>
      </c>
      <c r="H3" s="16">
        <f>'Data Sheet'!H16</f>
        <v>44651</v>
      </c>
      <c r="I3" s="16">
        <f>'Data Sheet'!I16</f>
        <v>45016</v>
      </c>
      <c r="J3" s="16">
        <f>'Data Sheet'!J16</f>
        <v>45382</v>
      </c>
      <c r="K3" s="16">
        <f>'Data Sheet'!K16</f>
        <v>45747</v>
      </c>
      <c r="L3" s="17" t="s">
        <v>3</v>
      </c>
      <c r="M3" s="17" t="s">
        <v>4</v>
      </c>
      <c r="N3" s="17" t="s">
        <v>5</v>
      </c>
    </row>
    <row r="4" spans="1:14" s="8" customFormat="1">
      <c r="A4" s="8" t="s">
        <v>6</v>
      </c>
      <c r="B4" s="1">
        <f>'Data Sheet'!B17</f>
        <v>39192.1</v>
      </c>
      <c r="C4" s="1">
        <f>'Data Sheet'!C17</f>
        <v>42767.6</v>
      </c>
      <c r="D4" s="1">
        <f>'Data Sheet'!D17</f>
        <v>43448.94</v>
      </c>
      <c r="E4" s="1">
        <f>'Data Sheet'!E17</f>
        <v>48339.58</v>
      </c>
      <c r="F4" s="1">
        <f>'Data Sheet'!F17</f>
        <v>49387.7</v>
      </c>
      <c r="G4" s="1">
        <f>'Data Sheet'!G17</f>
        <v>49257.45</v>
      </c>
      <c r="H4" s="1">
        <f>'Data Sheet'!H17</f>
        <v>60644.54</v>
      </c>
      <c r="I4" s="1">
        <f>'Data Sheet'!I17</f>
        <v>70919.03</v>
      </c>
      <c r="J4" s="1">
        <f>'Data Sheet'!J17</f>
        <v>67931.94</v>
      </c>
      <c r="K4" s="1">
        <f>'Data Sheet'!K17</f>
        <v>75323.34</v>
      </c>
      <c r="L4" s="1">
        <f>SUM(Quarters!H4:K4)</f>
        <v>78551.59</v>
      </c>
      <c r="M4" s="1">
        <f>$K4+M23*K4</f>
        <v>83518.968378580088</v>
      </c>
      <c r="N4" s="1">
        <f>$K4+N23*L4</f>
        <v>81209.036438509327</v>
      </c>
    </row>
    <row r="5" spans="1:14">
      <c r="A5" s="6" t="s">
        <v>7</v>
      </c>
      <c r="B5" s="9">
        <f>SUM('Data Sheet'!B18,'Data Sheet'!B20:B24, -1*'Data Sheet'!B19)</f>
        <v>24660.609999999997</v>
      </c>
      <c r="C5" s="9">
        <f>SUM('Data Sheet'!C18,'Data Sheet'!C20:C24, -1*'Data Sheet'!C19)</f>
        <v>27298.09</v>
      </c>
      <c r="D5" s="9">
        <f>SUM('Data Sheet'!D18,'Data Sheet'!D20:D24, -1*'Data Sheet'!D19)</f>
        <v>26928.35</v>
      </c>
      <c r="E5" s="9">
        <f>SUM('Data Sheet'!E18,'Data Sheet'!E20:E24, -1*'Data Sheet'!E19)</f>
        <v>29802.19</v>
      </c>
      <c r="F5" s="9">
        <f>SUM('Data Sheet'!F18,'Data Sheet'!F20:F24, -1*'Data Sheet'!F19)</f>
        <v>30044.16</v>
      </c>
      <c r="G5" s="9">
        <f>SUM('Data Sheet'!G18,'Data Sheet'!G20:G24, -1*'Data Sheet'!G19)</f>
        <v>32192.670000000002</v>
      </c>
      <c r="H5" s="9">
        <f>SUM('Data Sheet'!H18,'Data Sheet'!H20:H24, -1*'Data Sheet'!H19)</f>
        <v>40021.39</v>
      </c>
      <c r="I5" s="9">
        <f>SUM('Data Sheet'!I18,'Data Sheet'!I20:I24, -1*'Data Sheet'!I19)</f>
        <v>45214.770000000004</v>
      </c>
      <c r="J5" s="9">
        <f>SUM('Data Sheet'!J18,'Data Sheet'!J20:J24, -1*'Data Sheet'!J19)</f>
        <v>42744.41</v>
      </c>
      <c r="K5" s="9">
        <f>SUM('Data Sheet'!K18,'Data Sheet'!K20:K24, -1*'Data Sheet'!K19)</f>
        <v>49483.89</v>
      </c>
      <c r="L5" s="9">
        <f>SUM(Quarters!H5:K5)</f>
        <v>52159.14</v>
      </c>
      <c r="M5" s="9">
        <f>M4-M6</f>
        <v>53597.013652967857</v>
      </c>
      <c r="N5" s="9">
        <f>N4-N6</f>
        <v>53923.714349528876</v>
      </c>
    </row>
    <row r="6" spans="1:14" s="8" customFormat="1">
      <c r="A6" s="8" t="s">
        <v>8</v>
      </c>
      <c r="B6" s="1">
        <f>B4-B5</f>
        <v>14531.490000000002</v>
      </c>
      <c r="C6" s="1">
        <f t="shared" ref="C6:K6" si="0">C4-C5</f>
        <v>15469.509999999998</v>
      </c>
      <c r="D6" s="1">
        <f t="shared" si="0"/>
        <v>16520.590000000004</v>
      </c>
      <c r="E6" s="1">
        <f t="shared" si="0"/>
        <v>18537.390000000003</v>
      </c>
      <c r="F6" s="1">
        <f t="shared" si="0"/>
        <v>19343.539999999997</v>
      </c>
      <c r="G6" s="1">
        <f t="shared" si="0"/>
        <v>17064.779999999995</v>
      </c>
      <c r="H6" s="1">
        <f t="shared" si="0"/>
        <v>20623.150000000001</v>
      </c>
      <c r="I6" s="1">
        <f t="shared" si="0"/>
        <v>25704.259999999995</v>
      </c>
      <c r="J6" s="1">
        <f t="shared" si="0"/>
        <v>25187.53</v>
      </c>
      <c r="K6" s="1">
        <f t="shared" si="0"/>
        <v>25839.449999999997</v>
      </c>
      <c r="L6" s="1">
        <f>SUM(Quarters!H6:K6)</f>
        <v>26392.45</v>
      </c>
      <c r="M6" s="1">
        <f>M4*M24</f>
        <v>29921.954725612231</v>
      </c>
      <c r="N6" s="1">
        <f>N4*N24</f>
        <v>27285.322088980451</v>
      </c>
    </row>
    <row r="7" spans="1:14">
      <c r="A7" s="6" t="s">
        <v>9</v>
      </c>
      <c r="B7" s="9">
        <f>'Data Sheet'!B25</f>
        <v>1483.11</v>
      </c>
      <c r="C7" s="9">
        <f>'Data Sheet'!C25</f>
        <v>1758.63</v>
      </c>
      <c r="D7" s="9">
        <f>'Data Sheet'!D25</f>
        <v>2239.81</v>
      </c>
      <c r="E7" s="9">
        <f>'Data Sheet'!E25</f>
        <v>2080.44</v>
      </c>
      <c r="F7" s="9">
        <f>'Data Sheet'!F25</f>
        <v>2417.3200000000002</v>
      </c>
      <c r="G7" s="9">
        <f>'Data Sheet'!G25</f>
        <v>2576.9499999999998</v>
      </c>
      <c r="H7" s="9">
        <f>'Data Sheet'!H25</f>
        <v>1909.72</v>
      </c>
      <c r="I7" s="9">
        <f>'Data Sheet'!I25</f>
        <v>2097.64</v>
      </c>
      <c r="J7" s="9">
        <f>'Data Sheet'!J25</f>
        <v>3330.45</v>
      </c>
      <c r="K7" s="9">
        <f>'Data Sheet'!K25</f>
        <v>17794.88</v>
      </c>
      <c r="L7" s="9">
        <f>SUM(Quarters!H7:K7)</f>
        <v>17684.490000000002</v>
      </c>
      <c r="M7" s="9">
        <v>0</v>
      </c>
      <c r="N7" s="9">
        <v>0</v>
      </c>
    </row>
    <row r="8" spans="1:14">
      <c r="A8" s="6" t="s">
        <v>10</v>
      </c>
      <c r="B8" s="9">
        <f>'Data Sheet'!B26</f>
        <v>1077.4000000000001</v>
      </c>
      <c r="C8" s="9">
        <f>'Data Sheet'!C26</f>
        <v>1152.79</v>
      </c>
      <c r="D8" s="9">
        <f>'Data Sheet'!D26</f>
        <v>1236.28</v>
      </c>
      <c r="E8" s="9">
        <f>'Data Sheet'!E26</f>
        <v>1396.61</v>
      </c>
      <c r="F8" s="9">
        <f>'Data Sheet'!F26</f>
        <v>1644.91</v>
      </c>
      <c r="G8" s="9">
        <f>'Data Sheet'!G26</f>
        <v>1645.59</v>
      </c>
      <c r="H8" s="9">
        <f>'Data Sheet'!H26</f>
        <v>1732.41</v>
      </c>
      <c r="I8" s="9">
        <f>'Data Sheet'!I26</f>
        <v>1809.01</v>
      </c>
      <c r="J8" s="9">
        <f>'Data Sheet'!J26</f>
        <v>1518.05</v>
      </c>
      <c r="K8" s="9">
        <f>'Data Sheet'!K26</f>
        <v>1646.32</v>
      </c>
      <c r="L8" s="9">
        <f>SUM(Quarters!H8:K8)</f>
        <v>1684.77</v>
      </c>
      <c r="M8" s="9">
        <f>+$L8</f>
        <v>1684.77</v>
      </c>
      <c r="N8" s="9">
        <f>+$L8</f>
        <v>1684.77</v>
      </c>
    </row>
    <row r="9" spans="1:14">
      <c r="A9" s="6" t="s">
        <v>11</v>
      </c>
      <c r="B9" s="9">
        <f>'Data Sheet'!B27</f>
        <v>78.13</v>
      </c>
      <c r="C9" s="9">
        <f>'Data Sheet'!C27</f>
        <v>49.03</v>
      </c>
      <c r="D9" s="9">
        <f>'Data Sheet'!D27</f>
        <v>115.01</v>
      </c>
      <c r="E9" s="9">
        <f>'Data Sheet'!E27</f>
        <v>71.400000000000006</v>
      </c>
      <c r="F9" s="9">
        <f>'Data Sheet'!F27</f>
        <v>81.38</v>
      </c>
      <c r="G9" s="9">
        <f>'Data Sheet'!G27</f>
        <v>57.97</v>
      </c>
      <c r="H9" s="9">
        <f>'Data Sheet'!H27</f>
        <v>59.99</v>
      </c>
      <c r="I9" s="9">
        <f>'Data Sheet'!I27</f>
        <v>77.77</v>
      </c>
      <c r="J9" s="9">
        <f>'Data Sheet'!J27</f>
        <v>39.11</v>
      </c>
      <c r="K9" s="9">
        <f>'Data Sheet'!K27</f>
        <v>45.06</v>
      </c>
      <c r="L9" s="9">
        <f>SUM(Quarters!H9:K9)</f>
        <v>57.25</v>
      </c>
      <c r="M9" s="9">
        <f>+$L9</f>
        <v>57.25</v>
      </c>
      <c r="N9" s="9">
        <f>+$L9</f>
        <v>57.25</v>
      </c>
    </row>
    <row r="10" spans="1:14">
      <c r="A10" s="6" t="s">
        <v>12</v>
      </c>
      <c r="B10" s="9">
        <f>'Data Sheet'!B28</f>
        <v>14859.07</v>
      </c>
      <c r="C10" s="9">
        <f>'Data Sheet'!C28</f>
        <v>16026.32</v>
      </c>
      <c r="D10" s="9">
        <f>'Data Sheet'!D28</f>
        <v>17409.11</v>
      </c>
      <c r="E10" s="9">
        <f>'Data Sheet'!E28</f>
        <v>19149.82</v>
      </c>
      <c r="F10" s="9">
        <f>'Data Sheet'!F28</f>
        <v>20034.57</v>
      </c>
      <c r="G10" s="9">
        <f>'Data Sheet'!G28</f>
        <v>17938.169999999998</v>
      </c>
      <c r="H10" s="9">
        <f>'Data Sheet'!H28</f>
        <v>20740.47</v>
      </c>
      <c r="I10" s="9">
        <f>'Data Sheet'!I28</f>
        <v>25915.119999999999</v>
      </c>
      <c r="J10" s="9">
        <f>'Data Sheet'!J28</f>
        <v>26960.82</v>
      </c>
      <c r="K10" s="9">
        <f>'Data Sheet'!K28</f>
        <v>41942.949999999997</v>
      </c>
      <c r="L10" s="9">
        <f>SUM(Quarters!H10:K10)</f>
        <v>42334.92</v>
      </c>
      <c r="M10" s="9">
        <f>M6+M7-SUM(M8:M9)</f>
        <v>28179.934725612231</v>
      </c>
      <c r="N10" s="9">
        <f>N6+N7-SUM(N8:N9)</f>
        <v>25543.30208898045</v>
      </c>
    </row>
    <row r="11" spans="1:14">
      <c r="A11" s="6" t="s">
        <v>13</v>
      </c>
      <c r="B11" s="9">
        <f>'Data Sheet'!B29</f>
        <v>5358.21</v>
      </c>
      <c r="C11" s="9">
        <f>'Data Sheet'!C29</f>
        <v>5549.09</v>
      </c>
      <c r="D11" s="9">
        <f>'Data Sheet'!D29</f>
        <v>5916.43</v>
      </c>
      <c r="E11" s="9">
        <f>'Data Sheet'!E29</f>
        <v>6313.92</v>
      </c>
      <c r="F11" s="9">
        <f>'Data Sheet'!F29</f>
        <v>4441.79</v>
      </c>
      <c r="G11" s="9">
        <f>'Data Sheet'!G29</f>
        <v>4555.29</v>
      </c>
      <c r="H11" s="9">
        <f>'Data Sheet'!H29</f>
        <v>5237.34</v>
      </c>
      <c r="I11" s="9">
        <f>'Data Sheet'!I29</f>
        <v>6438.4</v>
      </c>
      <c r="J11" s="9">
        <f>'Data Sheet'!J29</f>
        <v>6209.46</v>
      </c>
      <c r="K11" s="9">
        <f>'Data Sheet'!K29</f>
        <v>6890.47</v>
      </c>
      <c r="L11" s="9">
        <f>SUM(Quarters!H11:K11)</f>
        <v>6983.9000000000005</v>
      </c>
      <c r="M11" s="10">
        <f>IF($L10&gt;0,$L11/$L10,0)</f>
        <v>0.16496783270170348</v>
      </c>
      <c r="N11" s="10">
        <f>IF($L10&gt;0,$L11/$L10,0)</f>
        <v>0.16496783270170348</v>
      </c>
    </row>
    <row r="12" spans="1:14" s="8" customFormat="1">
      <c r="A12" s="8" t="s">
        <v>14</v>
      </c>
      <c r="B12" s="1">
        <f>'Data Sheet'!B30</f>
        <v>9344.4500000000007</v>
      </c>
      <c r="C12" s="1">
        <f>'Data Sheet'!C30</f>
        <v>10289.44</v>
      </c>
      <c r="D12" s="1">
        <f>'Data Sheet'!D30</f>
        <v>11271.2</v>
      </c>
      <c r="E12" s="1">
        <f>'Data Sheet'!E30</f>
        <v>12592.33</v>
      </c>
      <c r="F12" s="1">
        <f>'Data Sheet'!F30</f>
        <v>15306.23</v>
      </c>
      <c r="G12" s="1">
        <f>'Data Sheet'!G30</f>
        <v>13161.19</v>
      </c>
      <c r="H12" s="1">
        <f>'Data Sheet'!H30</f>
        <v>15242.66</v>
      </c>
      <c r="I12" s="1">
        <f>'Data Sheet'!I30</f>
        <v>19191.66</v>
      </c>
      <c r="J12" s="1">
        <f>'Data Sheet'!J30</f>
        <v>20458.78</v>
      </c>
      <c r="K12" s="1">
        <f>'Data Sheet'!K30</f>
        <v>34746.629999999997</v>
      </c>
      <c r="L12" s="1">
        <f>SUM(Quarters!H12:K12)</f>
        <v>35032.479999999996</v>
      </c>
      <c r="M12" s="1">
        <f>M10-M11*M10</f>
        <v>23531.151968252507</v>
      </c>
      <c r="N12" s="1">
        <f>N10-N11*N10</f>
        <v>21329.478903316449</v>
      </c>
    </row>
    <row r="13" spans="1:14">
      <c r="A13" s="11" t="s">
        <v>57</v>
      </c>
      <c r="B13" s="9">
        <f>IF('Data Sheet'!B93&gt;0,B12/'Data Sheet'!B93,0)</f>
        <v>7.7413675978394147</v>
      </c>
      <c r="C13" s="9">
        <f>IF('Data Sheet'!C93&gt;0,C12/'Data Sheet'!C93,0)</f>
        <v>8.4704875117309051</v>
      </c>
      <c r="D13" s="9">
        <f>IF('Data Sheet'!D93&gt;0,D12/'Data Sheet'!D93,0)</f>
        <v>9.2354334128135172</v>
      </c>
      <c r="E13" s="9">
        <f>IF('Data Sheet'!E93&gt;0,E12/'Data Sheet'!E93,0)</f>
        <v>10.272241528396393</v>
      </c>
      <c r="F13" s="9">
        <f>IF('Data Sheet'!F93&gt;0,F12/'Data Sheet'!F93,0)</f>
        <v>12.451985812141032</v>
      </c>
      <c r="G13" s="9">
        <f>IF('Data Sheet'!G93&gt;0,G12/'Data Sheet'!G93,0)</f>
        <v>10.692504549590536</v>
      </c>
      <c r="H13" s="9">
        <f>IF('Data Sheet'!H93&gt;0,H12/'Data Sheet'!H93,0)</f>
        <v>12.368975842509718</v>
      </c>
      <c r="I13" s="9">
        <f>IF('Data Sheet'!I93&gt;0,I12/'Data Sheet'!I93,0)</f>
        <v>15.442275506919859</v>
      </c>
      <c r="J13" s="9">
        <f>IF('Data Sheet'!J93&gt;0,J12/'Data Sheet'!J93,0)</f>
        <v>16.387081788108645</v>
      </c>
      <c r="K13" s="9">
        <f>IF('Data Sheet'!K93&gt;0,K12/'Data Sheet'!K93,0)</f>
        <v>27.765983970081745</v>
      </c>
      <c r="L13" s="9">
        <f>IF('Data Sheet'!$B6&gt;0,'Profit &amp; Loss'!L12/'Data Sheet'!$B6,0)</f>
        <v>27.961207025670621</v>
      </c>
      <c r="M13" s="9">
        <f>IF('Data Sheet'!$B6&gt;0,'Profit &amp; Loss'!M12/'Data Sheet'!$B6,0)</f>
        <v>18.781411185757477</v>
      </c>
      <c r="N13" s="9">
        <f>IF('Data Sheet'!$B6&gt;0,'Profit &amp; Loss'!N12/'Data Sheet'!$B6,0)</f>
        <v>17.024143747896385</v>
      </c>
    </row>
    <row r="14" spans="1:14">
      <c r="A14" s="6" t="s">
        <v>16</v>
      </c>
      <c r="B14" s="9">
        <f>IF(B15&gt;0,B15/B13,"")</f>
        <v>26.49790200600356</v>
      </c>
      <c r="C14" s="9">
        <f t="shared" ref="C14:K14" si="1">IF(C15&gt;0,C15/C13,"")</f>
        <v>31.019466073955435</v>
      </c>
      <c r="D14" s="9">
        <f t="shared" si="1"/>
        <v>25.932729877918941</v>
      </c>
      <c r="E14" s="9">
        <f t="shared" si="1"/>
        <v>27.125530414148926</v>
      </c>
      <c r="F14" s="9">
        <f t="shared" si="1"/>
        <v>12.925649163771876</v>
      </c>
      <c r="G14" s="9">
        <f t="shared" si="1"/>
        <v>19.155474664525016</v>
      </c>
      <c r="H14" s="9">
        <f t="shared" si="1"/>
        <v>18.995913889045614</v>
      </c>
      <c r="I14" s="9">
        <f t="shared" si="1"/>
        <v>23.279600201337455</v>
      </c>
      <c r="J14" s="9">
        <f t="shared" si="1"/>
        <v>24.502837368601647</v>
      </c>
      <c r="K14" s="9">
        <f t="shared" si="1"/>
        <v>14.757265596692401</v>
      </c>
      <c r="L14" s="9">
        <f>IF(L13&gt;0,L15/L13,0)</f>
        <v>12.168644926080027</v>
      </c>
      <c r="M14" s="9">
        <f>M25</f>
        <v>18.677087023177883</v>
      </c>
      <c r="N14" s="9">
        <f>N25</f>
        <v>12.168644926080027</v>
      </c>
    </row>
    <row r="15" spans="1:14" s="8" customFormat="1">
      <c r="A15" s="8" t="s">
        <v>58</v>
      </c>
      <c r="B15" s="1">
        <f>'Data Sheet'!B90</f>
        <v>205.13</v>
      </c>
      <c r="C15" s="1">
        <f>'Data Sheet'!C90</f>
        <v>262.75</v>
      </c>
      <c r="D15" s="1">
        <f>'Data Sheet'!D90</f>
        <v>239.5</v>
      </c>
      <c r="E15" s="1">
        <f>'Data Sheet'!E90</f>
        <v>278.64</v>
      </c>
      <c r="F15" s="1">
        <f>'Data Sheet'!F90</f>
        <v>160.94999999999999</v>
      </c>
      <c r="G15" s="1">
        <f>'Data Sheet'!G90</f>
        <v>204.82</v>
      </c>
      <c r="H15" s="1">
        <f>'Data Sheet'!H90</f>
        <v>234.96</v>
      </c>
      <c r="I15" s="1">
        <f>'Data Sheet'!I90</f>
        <v>359.49</v>
      </c>
      <c r="J15" s="1">
        <f>'Data Sheet'!J90</f>
        <v>401.53</v>
      </c>
      <c r="K15" s="1">
        <f>'Data Sheet'!K90</f>
        <v>409.75</v>
      </c>
      <c r="L15" s="1">
        <f>'Data Sheet'!B8</f>
        <v>340.25</v>
      </c>
      <c r="M15" s="12">
        <f>M13*M14</f>
        <v>350.78205113447893</v>
      </c>
      <c r="N15" s="13">
        <f>N13*N14</f>
        <v>207.16076043869637</v>
      </c>
    </row>
    <row r="17" spans="1:14" s="8" customFormat="1">
      <c r="A17" s="8" t="s">
        <v>15</v>
      </c>
    </row>
    <row r="18" spans="1:14">
      <c r="A18" s="6" t="s">
        <v>17</v>
      </c>
      <c r="B18" s="7">
        <f>IF('Data Sheet'!B30&gt;0, 'Data Sheet'!B31/'Data Sheet'!B30, 0)</f>
        <v>0.73199813793214152</v>
      </c>
      <c r="C18" s="7">
        <f>IF('Data Sheet'!C30&gt;0, 'Data Sheet'!C31/'Data Sheet'!C30, 0)</f>
        <v>0.56077104293333746</v>
      </c>
      <c r="D18" s="7">
        <f>IF('Data Sheet'!D30&gt;0, 'Data Sheet'!D31/'Data Sheet'!D30, 0)</f>
        <v>0.55763450209383203</v>
      </c>
      <c r="E18" s="7">
        <f>IF('Data Sheet'!E30&gt;0, 'Data Sheet'!E31/'Data Sheet'!E30, 0)</f>
        <v>0.55976137855345276</v>
      </c>
      <c r="F18" s="7">
        <f>IF('Data Sheet'!F30&gt;0, 'Data Sheet'!F31/'Data Sheet'!F30, 0)</f>
        <v>0.8151308323473514</v>
      </c>
      <c r="G18" s="7">
        <f>IF('Data Sheet'!G30&gt;0, 'Data Sheet'!G31/'Data Sheet'!G30, 0)</f>
        <v>1.0053771733407084</v>
      </c>
      <c r="H18" s="7">
        <f>IF('Data Sheet'!H30&gt;0, 'Data Sheet'!H31/'Data Sheet'!H30, 0)</f>
        <v>0.92974585800641096</v>
      </c>
      <c r="I18" s="7">
        <f>IF('Data Sheet'!I30&gt;0, 'Data Sheet'!I31/'Data Sheet'!I30, 0)</f>
        <v>1.0037380820627295</v>
      </c>
      <c r="J18" s="7">
        <f>IF('Data Sheet'!J30&gt;0, 'Data Sheet'!J31/'Data Sheet'!J30, 0)</f>
        <v>0.83907544829163816</v>
      </c>
      <c r="K18" s="7">
        <f>IF('Data Sheet'!K30&gt;0, 'Data Sheet'!K31/'Data Sheet'!K30, 0)</f>
        <v>0.51681932895362803</v>
      </c>
    </row>
    <row r="19" spans="1:14">
      <c r="A19" s="6" t="s">
        <v>18</v>
      </c>
      <c r="B19" s="7">
        <f>IF(B6&gt;0,B6/B4,0)</f>
        <v>0.37077599822413199</v>
      </c>
      <c r="C19" s="7">
        <f t="shared" ref="C19:K19" si="2">IF(C6&gt;0,C6/C4,0)</f>
        <v>0.36171096811605047</v>
      </c>
      <c r="D19" s="7">
        <f t="shared" si="2"/>
        <v>0.38022998950031928</v>
      </c>
      <c r="E19" s="7">
        <f t="shared" si="2"/>
        <v>0.38348264507056129</v>
      </c>
      <c r="F19" s="7">
        <f t="shared" si="2"/>
        <v>0.39166715599228147</v>
      </c>
      <c r="G19" s="7">
        <f t="shared" si="2"/>
        <v>0.34644058919006154</v>
      </c>
      <c r="H19" s="7">
        <f t="shared" si="2"/>
        <v>0.3400660636555245</v>
      </c>
      <c r="I19" s="7">
        <f t="shared" si="2"/>
        <v>0.36244517162741785</v>
      </c>
      <c r="J19" s="7">
        <f t="shared" si="2"/>
        <v>0.37077595605248426</v>
      </c>
      <c r="K19" s="7">
        <f t="shared" si="2"/>
        <v>0.34304705553418102</v>
      </c>
      <c r="L19" s="7">
        <f>IF(L6&gt;0,L6/L4,0)</f>
        <v>0.33598874319412253</v>
      </c>
    </row>
    <row r="20" spans="1:14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7.5290157386170398E-2</v>
      </c>
      <c r="I23" s="7">
        <f>IF(D4=0,"",POWER($K4/D4,1/7)-1)</f>
        <v>8.1772081914101014E-2</v>
      </c>
      <c r="J23" s="7">
        <f>IF(F4=0,"",POWER($K4/F4,1/5)-1)</f>
        <v>8.8083322106701667E-2</v>
      </c>
      <c r="K23" s="7">
        <f>IF(H4=0,"",POWER($K4/H4, 1/3)-1)</f>
        <v>7.4927782346726923E-2</v>
      </c>
      <c r="L23" s="7">
        <f>IF(ISERROR(MAX(IF(J4=0,"",(K4-J4)/J4),IF(K4=0,"",(L4-K4)/K4))),"",MAX(IF(J4=0,"",(K4-J4)/J4),IF(K4=0,"",(L4-K4)/K4)))</f>
        <v>0.10880596078957842</v>
      </c>
      <c r="M23" s="22">
        <f>MAX(K23:L23)</f>
        <v>0.10880596078957842</v>
      </c>
      <c r="N23" s="22">
        <f>MIN(H23:L23)</f>
        <v>7.4927782346726923E-2</v>
      </c>
    </row>
    <row r="24" spans="1:14">
      <c r="G24" s="6" t="s">
        <v>18</v>
      </c>
      <c r="H24" s="7">
        <f>IF(SUM(B4:$K$4)=0,"",SUMPRODUCT(B19:$K$19,B4:$K$4)/SUM(B4:$K$4))</f>
        <v>0.36333561776087531</v>
      </c>
      <c r="I24" s="7">
        <f>IF(SUM(E4:$K$4)=0,"",SUMPRODUCT(E19:$K$19,E4:$K$4)/SUM(E4:$K$4))</f>
        <v>0.361068770445239</v>
      </c>
      <c r="J24" s="7">
        <f>IF(SUM(G4:$K$4)=0,"",SUMPRODUCT(G19:$K$19,G4:$K$4)/SUM(G4:$K$4))</f>
        <v>0.35306244239396706</v>
      </c>
      <c r="K24" s="7">
        <f>IF(SUM(I4:$K$4)=0, "", SUMPRODUCT(I19:$K$19,I4:$K$4)/SUM(I4:$K$4))</f>
        <v>0.35826537739283482</v>
      </c>
      <c r="L24" s="7">
        <f>L19</f>
        <v>0.33598874319412253</v>
      </c>
      <c r="M24" s="22">
        <f>MAX(K24:L24)</f>
        <v>0.35826537739283482</v>
      </c>
      <c r="N24" s="22">
        <f>MIN(H24:L24)</f>
        <v>0.33598874319412253</v>
      </c>
    </row>
    <row r="25" spans="1:14">
      <c r="G25" s="6" t="s">
        <v>23</v>
      </c>
      <c r="H25" s="9">
        <f>IF(ISERROR(AVERAGEIF(B14:$L14,"&gt;0")),"",AVERAGEIF(B14:$L14,"&gt;0"))</f>
        <v>21.487364925643718</v>
      </c>
      <c r="I25" s="9">
        <f>IF(ISERROR(AVERAGEIF(E14:$L14,"&gt;0")),"",AVERAGEIF(E14:$L14,"&gt;0"))</f>
        <v>19.113864528025371</v>
      </c>
      <c r="J25" s="9">
        <f>IF(ISERROR(AVERAGEIF(G14:$L14,"&gt;0")),"",AVERAGEIF(G14:$L14,"&gt;0"))</f>
        <v>18.809956107713692</v>
      </c>
      <c r="K25" s="9">
        <f>IF(ISERROR(AVERAGEIF(I14:$L14,"&gt;0")),"",AVERAGEIF(I14:$L14,"&gt;0"))</f>
        <v>18.677087023177883</v>
      </c>
      <c r="L25" s="9">
        <f>L14</f>
        <v>12.168644926080027</v>
      </c>
      <c r="M25" s="1">
        <f>MAX(K25:L25)</f>
        <v>18.677087023177883</v>
      </c>
      <c r="N25" s="1">
        <f>MIN(H25:L25)</f>
        <v>12.168644926080027</v>
      </c>
    </row>
    <row r="27" spans="1:14">
      <c r="A27" t="s">
        <v>99</v>
      </c>
      <c r="E27" s="6">
        <f>E4/D4-1</f>
        <v>0.11256062863673999</v>
      </c>
      <c r="F27" s="6">
        <f t="shared" ref="F27:K27" si="3">F4/E4-1</f>
        <v>2.1682439110972673E-2</v>
      </c>
      <c r="G27" s="6">
        <f t="shared" si="3"/>
        <v>-2.6372963308678443E-3</v>
      </c>
      <c r="H27" s="6">
        <f t="shared" si="3"/>
        <v>0.23117497962237188</v>
      </c>
      <c r="I27" s="6">
        <f t="shared" si="3"/>
        <v>0.1694215175842706</v>
      </c>
      <c r="J27" s="6">
        <f t="shared" si="3"/>
        <v>-4.2119724423754779E-2</v>
      </c>
      <c r="K27" s="6">
        <f t="shared" si="3"/>
        <v>0.10880596078957838</v>
      </c>
    </row>
    <row r="29" spans="1:14">
      <c r="A29" s="6" t="s">
        <v>100</v>
      </c>
      <c r="E29" s="6">
        <f>'Data Sheet'!E17-'Data Sheet'!E18-'Data Sheet'!E19-'Data Sheet'!E20-'Data Sheet'!E21</f>
        <v>27895.130000000005</v>
      </c>
      <c r="F29" s="6">
        <f>'Data Sheet'!F17-'Data Sheet'!F18-'Data Sheet'!F19-'Data Sheet'!F20-'Data Sheet'!F21</f>
        <v>27946.829999999998</v>
      </c>
      <c r="G29" s="6">
        <f>'Data Sheet'!G17-'Data Sheet'!G18-'Data Sheet'!G19-'Data Sheet'!G20-'Data Sheet'!G21</f>
        <v>25548.729999999996</v>
      </c>
      <c r="H29" s="6">
        <f>'Data Sheet'!H17-'Data Sheet'!H18-'Data Sheet'!H19-'Data Sheet'!H20-'Data Sheet'!H21</f>
        <v>30110.03</v>
      </c>
      <c r="I29" s="6">
        <f>'Data Sheet'!I17-'Data Sheet'!I18-'Data Sheet'!I19-'Data Sheet'!I20-'Data Sheet'!I21</f>
        <v>37635.94</v>
      </c>
      <c r="J29" s="6">
        <f>'Data Sheet'!J17-'Data Sheet'!J18-'Data Sheet'!J19-'Data Sheet'!J20-'Data Sheet'!J21</f>
        <v>37078.94</v>
      </c>
      <c r="K29" s="6">
        <f>'Data Sheet'!K17-'Data Sheet'!K18-'Data Sheet'!K19-'Data Sheet'!K20-'Data Sheet'!K21</f>
        <v>38572.61</v>
      </c>
    </row>
    <row r="30" spans="1:14">
      <c r="A30" s="6" t="s">
        <v>101</v>
      </c>
      <c r="E30" s="42">
        <f>E29/E4</f>
        <v>0.57706603987870819</v>
      </c>
      <c r="F30" s="42">
        <f t="shared" ref="F30:K30" si="4">F29/F4</f>
        <v>0.565866197454022</v>
      </c>
      <c r="G30" s="42">
        <f t="shared" si="4"/>
        <v>0.51867747924425645</v>
      </c>
      <c r="H30" s="42">
        <f t="shared" si="4"/>
        <v>0.49650026201864172</v>
      </c>
      <c r="I30" s="42">
        <f t="shared" si="4"/>
        <v>0.53068887152009836</v>
      </c>
      <c r="J30" s="42">
        <f t="shared" si="4"/>
        <v>0.54582483585777175</v>
      </c>
      <c r="K30" s="42">
        <f t="shared" si="4"/>
        <v>0.51209372818571242</v>
      </c>
    </row>
    <row r="31" spans="1:14">
      <c r="A31" s="29" t="s">
        <v>102</v>
      </c>
      <c r="E31" s="6">
        <f>E6/E4</f>
        <v>0.38348264507056129</v>
      </c>
      <c r="F31" s="6">
        <f t="shared" ref="F31:K31" si="5">F6/F4</f>
        <v>0.39166715599228147</v>
      </c>
      <c r="G31" s="6">
        <f t="shared" si="5"/>
        <v>0.34644058919006154</v>
      </c>
      <c r="H31" s="6">
        <f t="shared" si="5"/>
        <v>0.3400660636555245</v>
      </c>
      <c r="I31" s="6">
        <f t="shared" si="5"/>
        <v>0.36244517162741785</v>
      </c>
      <c r="J31" s="6">
        <f t="shared" si="5"/>
        <v>0.37077595605248426</v>
      </c>
      <c r="K31" s="6">
        <f t="shared" si="5"/>
        <v>0.34304705553418102</v>
      </c>
    </row>
    <row r="32" spans="1:14">
      <c r="A32" s="29" t="s">
        <v>104</v>
      </c>
      <c r="E32" s="41">
        <f>(E6-E8)/E4</f>
        <v>0.35459099975630737</v>
      </c>
      <c r="F32" s="41">
        <f t="shared" ref="F32:K32" si="6">(F6-F8)/F4</f>
        <v>0.35836108990700111</v>
      </c>
      <c r="G32" s="41">
        <f t="shared" si="6"/>
        <v>0.31303264785326884</v>
      </c>
      <c r="H32" s="41">
        <f t="shared" si="6"/>
        <v>0.3114994358931571</v>
      </c>
      <c r="I32" s="41">
        <f t="shared" si="6"/>
        <v>0.33693706752616326</v>
      </c>
      <c r="J32" s="41">
        <f t="shared" si="6"/>
        <v>0.34842932499793172</v>
      </c>
      <c r="K32" s="41">
        <f t="shared" si="6"/>
        <v>0.3211903508261848</v>
      </c>
    </row>
    <row r="33" spans="1:11">
      <c r="A33" t="s">
        <v>107</v>
      </c>
      <c r="E33" s="42">
        <f>E12/E4</f>
        <v>0.26049729848707825</v>
      </c>
      <c r="F33" s="42">
        <f t="shared" ref="F33:K33" si="7">F12/F4</f>
        <v>0.30991987883622846</v>
      </c>
      <c r="G33" s="42">
        <f t="shared" si="7"/>
        <v>0.26719186640802561</v>
      </c>
      <c r="H33" s="42">
        <f t="shared" si="7"/>
        <v>0.25134430898478244</v>
      </c>
      <c r="I33" s="42">
        <f t="shared" si="7"/>
        <v>0.27061368436652333</v>
      </c>
      <c r="J33" s="42">
        <f t="shared" si="7"/>
        <v>0.30116584334261615</v>
      </c>
      <c r="K33" s="42">
        <f t="shared" si="7"/>
        <v>0.46129964497060272</v>
      </c>
    </row>
    <row r="34" spans="1:11">
      <c r="A34" s="8"/>
    </row>
    <row r="36" spans="1:11">
      <c r="A36" s="40" t="s">
        <v>109</v>
      </c>
      <c r="E36" s="42">
        <f>E13/D13-1</f>
        <v>0.11226415363943576</v>
      </c>
      <c r="F36" s="42">
        <f t="shared" ref="F36:K36" si="8">F13/E13-1</f>
        <v>0.21219753037533184</v>
      </c>
      <c r="G36" s="42">
        <f t="shared" si="8"/>
        <v>-0.14130125821657724</v>
      </c>
      <c r="H36" s="42">
        <f t="shared" si="8"/>
        <v>0.15678939252669122</v>
      </c>
      <c r="I36" s="42">
        <f t="shared" si="8"/>
        <v>0.24846840219768396</v>
      </c>
      <c r="J36" s="42">
        <f t="shared" si="8"/>
        <v>6.1183099651693551E-2</v>
      </c>
      <c r="K36" s="42">
        <f t="shared" si="8"/>
        <v>0.69438246108164581</v>
      </c>
    </row>
    <row r="38" spans="1:11">
      <c r="A38" s="6" t="s">
        <v>110</v>
      </c>
      <c r="D38" s="41">
        <f>D13*D18</f>
        <v>5.1499963127750057</v>
      </c>
      <c r="E38" s="41">
        <f>E13*E18</f>
        <v>5.7500040787691908</v>
      </c>
      <c r="F38" s="41">
        <f t="shared" ref="F38:K38" si="9">F13*F18</f>
        <v>10.149997559427931</v>
      </c>
      <c r="G38" s="41">
        <f t="shared" si="9"/>
        <v>10.749999999999998</v>
      </c>
      <c r="H38" s="41">
        <f t="shared" si="9"/>
        <v>11.500004057354767</v>
      </c>
      <c r="I38" s="41">
        <f t="shared" si="9"/>
        <v>15.500000000000004</v>
      </c>
      <c r="J38" s="41">
        <f t="shared" si="9"/>
        <v>13.749997997549</v>
      </c>
      <c r="K38" s="41">
        <f t="shared" si="9"/>
        <v>14.349997203154841</v>
      </c>
    </row>
    <row r="39" spans="1:11">
      <c r="A39" s="6" t="s">
        <v>113</v>
      </c>
      <c r="E39" s="6">
        <f t="shared" ref="E39:K39" si="10">E38/D38-1</f>
        <v>0.11650644574362401</v>
      </c>
      <c r="F39" s="6">
        <f t="shared" si="10"/>
        <v>0.76521571469921024</v>
      </c>
      <c r="G39" s="6">
        <f t="shared" si="10"/>
        <v>5.9113555156941722E-2</v>
      </c>
      <c r="H39" s="6">
        <f t="shared" si="10"/>
        <v>6.9767819288815591E-2</v>
      </c>
      <c r="I39" s="6">
        <f t="shared" si="10"/>
        <v>0.34782561142550739</v>
      </c>
      <c r="J39" s="6">
        <f t="shared" si="10"/>
        <v>-0.1129033549968389</v>
      </c>
      <c r="K39" s="6">
        <f t="shared" si="10"/>
        <v>4.3636312217121276E-2</v>
      </c>
    </row>
    <row r="41" spans="1:11">
      <c r="A41" s="29" t="s">
        <v>118</v>
      </c>
      <c r="E41" s="48">
        <f>'Data Sheet'!E93*'Data Sheet'!E90</f>
        <v>341573.63039999997</v>
      </c>
      <c r="F41" s="48">
        <f>'Data Sheet'!F93*'Data Sheet'!F90</f>
        <v>197842.959</v>
      </c>
      <c r="G41" s="48">
        <f>'Data Sheet'!G93*'Data Sheet'!G90</f>
        <v>252108.84160000001</v>
      </c>
      <c r="H41" s="48">
        <f>'Data Sheet'!H93*'Data Sheet'!H90</f>
        <v>289548.25679999997</v>
      </c>
      <c r="I41" s="48">
        <f>'Data Sheet'!I93*'Data Sheet'!I90</f>
        <v>446774.17200000002</v>
      </c>
      <c r="J41" s="48">
        <f>'Data Sheet'!J93*'Data Sheet'!J90</f>
        <v>501298.15909999999</v>
      </c>
      <c r="K41" s="48">
        <f>'Data Sheet'!K93*'Data Sheet'!K90</f>
        <v>512765.24750000006</v>
      </c>
    </row>
    <row r="42" spans="1:11">
      <c r="A42" s="29" t="s">
        <v>119</v>
      </c>
      <c r="E42" s="6">
        <f>'Data Sheet'!E59</f>
        <v>13.44</v>
      </c>
      <c r="F42" s="6">
        <f>'Data Sheet'!F59</f>
        <v>277.45</v>
      </c>
      <c r="G42" s="6">
        <f>'Data Sheet'!G59</f>
        <v>270.83</v>
      </c>
      <c r="H42" s="6">
        <f>'Data Sheet'!H59</f>
        <v>249.44</v>
      </c>
      <c r="I42" s="6">
        <f>'Data Sheet'!I59</f>
        <v>306.04000000000002</v>
      </c>
      <c r="J42" s="6">
        <f>'Data Sheet'!J59</f>
        <v>303.43</v>
      </c>
      <c r="K42" s="6">
        <f>'Data Sheet'!K59</f>
        <v>284.54000000000002</v>
      </c>
    </row>
    <row r="43" spans="1:11">
      <c r="A43" s="29" t="s">
        <v>120</v>
      </c>
      <c r="E43" s="6">
        <f>'Data Sheet'!E69</f>
        <v>4152.03</v>
      </c>
      <c r="F43" s="6">
        <f>'Data Sheet'!F69</f>
        <v>7277.34</v>
      </c>
      <c r="G43" s="6">
        <f>'Data Sheet'!G69</f>
        <v>4659.0200000000004</v>
      </c>
      <c r="H43" s="6">
        <f>'Data Sheet'!H69</f>
        <v>4654.42</v>
      </c>
      <c r="I43" s="6">
        <f>'Data Sheet'!I69</f>
        <v>4880.1899999999996</v>
      </c>
      <c r="J43" s="6">
        <f>'Data Sheet'!J69</f>
        <v>7217.68</v>
      </c>
      <c r="K43" s="6">
        <f>'Data Sheet'!K69</f>
        <v>4012.36</v>
      </c>
    </row>
    <row r="46" spans="1:11">
      <c r="A46" s="6" t="s">
        <v>117</v>
      </c>
      <c r="E46" s="48">
        <f>E41+E42-E43</f>
        <v>337435.04039999994</v>
      </c>
      <c r="F46" s="48">
        <f t="shared" ref="F46:K46" si="11">F41+F42-F43</f>
        <v>190843.06900000002</v>
      </c>
      <c r="G46" s="48">
        <f t="shared" si="11"/>
        <v>247720.65160000001</v>
      </c>
      <c r="H46" s="48">
        <f t="shared" si="11"/>
        <v>285143.27679999999</v>
      </c>
      <c r="I46" s="48">
        <f t="shared" si="11"/>
        <v>442200.022</v>
      </c>
      <c r="J46" s="48">
        <f t="shared" si="11"/>
        <v>494383.90909999999</v>
      </c>
      <c r="K46" s="48">
        <f t="shared" si="11"/>
        <v>509037.42750000005</v>
      </c>
    </row>
    <row r="48" spans="1:11">
      <c r="A48" s="6" t="s">
        <v>121</v>
      </c>
      <c r="E48" s="41">
        <f>E46/E6</f>
        <v>18.202942291228695</v>
      </c>
      <c r="F48" s="41">
        <f t="shared" ref="F48:K48" si="12">F46/F6</f>
        <v>9.8659846646477352</v>
      </c>
      <c r="G48" s="41">
        <f t="shared" si="12"/>
        <v>14.516486681926171</v>
      </c>
      <c r="H48" s="41">
        <f t="shared" si="12"/>
        <v>13.826368755500493</v>
      </c>
      <c r="I48" s="41">
        <f t="shared" si="12"/>
        <v>17.203374926957636</v>
      </c>
      <c r="J48" s="41">
        <f t="shared" si="12"/>
        <v>19.628121896033473</v>
      </c>
      <c r="K48" s="41">
        <f t="shared" si="12"/>
        <v>19.700010158884965</v>
      </c>
    </row>
    <row r="49" spans="1:11">
      <c r="A49" s="6" t="s">
        <v>122</v>
      </c>
      <c r="E49" s="49">
        <f>E46/E4</f>
        <v>6.9805124579071629</v>
      </c>
      <c r="F49" s="49">
        <f t="shared" ref="F49:K49" si="13">F46/F4</f>
        <v>3.8641821546660409</v>
      </c>
      <c r="G49" s="49">
        <f t="shared" si="13"/>
        <v>5.0291001990561837</v>
      </c>
      <c r="H49" s="49">
        <f t="shared" si="13"/>
        <v>4.7018787973327854</v>
      </c>
      <c r="I49" s="49">
        <f t="shared" si="13"/>
        <v>6.2352801779719771</v>
      </c>
      <c r="J49" s="49">
        <f t="shared" si="13"/>
        <v>7.2776356615165119</v>
      </c>
      <c r="K49" s="49">
        <f t="shared" si="13"/>
        <v>6.7580304789989407</v>
      </c>
    </row>
    <row r="51" spans="1:11">
      <c r="A51" s="29" t="s">
        <v>124</v>
      </c>
      <c r="E51" s="41">
        <f>E46/'Balance Sheet'!E26</f>
        <v>5.7056150915602011</v>
      </c>
      <c r="F51" s="41">
        <f>F46/'Balance Sheet'!F26</f>
        <v>2.9237557462274752</v>
      </c>
      <c r="G51" s="41">
        <f>G46/'Balance Sheet'!G26</f>
        <v>4.1049141784874035</v>
      </c>
      <c r="H51" s="41">
        <f>H46/'Balance Sheet'!H26</f>
        <v>4.5655379784381118</v>
      </c>
      <c r="I51" s="41">
        <f>I46/'Balance Sheet'!I26</f>
        <v>6.3943078516370253</v>
      </c>
      <c r="J51" s="41">
        <f>J46/'Balance Sheet'!J26</f>
        <v>6.6354021648972576</v>
      </c>
      <c r="K51" s="41"/>
    </row>
  </sheetData>
  <hyperlinks>
    <hyperlink ref="M1" r:id="rId1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A20" sqref="A20"/>
    </sheetView>
  </sheetViews>
  <sheetFormatPr defaultColWidth="8.77734375" defaultRowHeight="14.4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>
      <c r="A1" s="8" t="str">
        <f>'Profit &amp; Loss'!A1</f>
        <v>ITC LTD</v>
      </c>
      <c r="E1" t="str">
        <f>UPDATE</f>
        <v/>
      </c>
      <c r="J1" s="4" t="s">
        <v>1</v>
      </c>
      <c r="K1" s="4"/>
    </row>
    <row r="3" spans="1:11" s="2" customFormat="1">
      <c r="A3" s="15" t="s">
        <v>2</v>
      </c>
      <c r="B3" s="16">
        <f>'Data Sheet'!B41</f>
        <v>45107</v>
      </c>
      <c r="C3" s="16">
        <f>'Data Sheet'!C41</f>
        <v>45199</v>
      </c>
      <c r="D3" s="16">
        <f>'Data Sheet'!D41</f>
        <v>45291</v>
      </c>
      <c r="E3" s="16">
        <f>'Data Sheet'!E41</f>
        <v>45382</v>
      </c>
      <c r="F3" s="16">
        <f>'Data Sheet'!F41</f>
        <v>45473</v>
      </c>
      <c r="G3" s="16">
        <f>'Data Sheet'!G41</f>
        <v>45565</v>
      </c>
      <c r="H3" s="16">
        <f>'Data Sheet'!H41</f>
        <v>45657</v>
      </c>
      <c r="I3" s="16">
        <f>'Data Sheet'!I41</f>
        <v>45747</v>
      </c>
      <c r="J3" s="16">
        <f>'Data Sheet'!J41</f>
        <v>45838</v>
      </c>
      <c r="K3" s="16">
        <f>'Data Sheet'!K41</f>
        <v>45930</v>
      </c>
    </row>
    <row r="4" spans="1:11" s="8" customFormat="1">
      <c r="A4" s="8" t="s">
        <v>6</v>
      </c>
      <c r="B4" s="1">
        <f>'Data Sheet'!B42</f>
        <v>17164.46</v>
      </c>
      <c r="C4" s="1">
        <f>'Data Sheet'!C42</f>
        <v>17774.47</v>
      </c>
      <c r="D4" s="1">
        <f>'Data Sheet'!D42</f>
        <v>17195.240000000002</v>
      </c>
      <c r="E4" s="1">
        <f>'Data Sheet'!E42</f>
        <v>17037.8</v>
      </c>
      <c r="F4" s="1">
        <f>'Data Sheet'!F42</f>
        <v>17777.810000000001</v>
      </c>
      <c r="G4" s="1">
        <f>'Data Sheet'!G42</f>
        <v>19990.36</v>
      </c>
      <c r="H4" s="1">
        <f>'Data Sheet'!H42</f>
        <v>18790.169999999998</v>
      </c>
      <c r="I4" s="1">
        <f>'Data Sheet'!I42</f>
        <v>18765</v>
      </c>
      <c r="J4" s="1">
        <f>'Data Sheet'!J42</f>
        <v>21494.79</v>
      </c>
      <c r="K4" s="1">
        <f>'Data Sheet'!K42</f>
        <v>19501.63</v>
      </c>
    </row>
    <row r="5" spans="1:11">
      <c r="A5" s="6" t="s">
        <v>7</v>
      </c>
      <c r="B5" s="9">
        <f>'Data Sheet'!B43</f>
        <v>10494.39</v>
      </c>
      <c r="C5" s="9">
        <f>'Data Sheet'!C43</f>
        <v>11320.23</v>
      </c>
      <c r="D5" s="9">
        <f>'Data Sheet'!D43</f>
        <v>10985.01</v>
      </c>
      <c r="E5" s="9">
        <f>'Data Sheet'!E43</f>
        <v>10735.73</v>
      </c>
      <c r="F5" s="9">
        <f>'Data Sheet'!F43</f>
        <v>11232.97</v>
      </c>
      <c r="G5" s="9">
        <f>'Data Sheet'!G43</f>
        <v>13438.28</v>
      </c>
      <c r="H5" s="9">
        <f>'Data Sheet'!H43</f>
        <v>12428.27</v>
      </c>
      <c r="I5" s="9">
        <f>'Data Sheet'!I43</f>
        <v>12245.61</v>
      </c>
      <c r="J5" s="9">
        <f>'Data Sheet'!J43</f>
        <v>14678.32</v>
      </c>
      <c r="K5" s="9">
        <f>'Data Sheet'!K43</f>
        <v>12806.94</v>
      </c>
    </row>
    <row r="6" spans="1:11" s="8" customFormat="1">
      <c r="A6" s="8" t="s">
        <v>8</v>
      </c>
      <c r="B6" s="1">
        <f>'Data Sheet'!B50</f>
        <v>6670.07</v>
      </c>
      <c r="C6" s="1">
        <f>'Data Sheet'!C50</f>
        <v>6454.24</v>
      </c>
      <c r="D6" s="1">
        <f>'Data Sheet'!D50</f>
        <v>6210.23</v>
      </c>
      <c r="E6" s="1">
        <f>'Data Sheet'!E50</f>
        <v>6302.07</v>
      </c>
      <c r="F6" s="1">
        <f>'Data Sheet'!F50</f>
        <v>6544.84</v>
      </c>
      <c r="G6" s="1">
        <f>'Data Sheet'!G50</f>
        <v>6552.08</v>
      </c>
      <c r="H6" s="1">
        <f>'Data Sheet'!H50</f>
        <v>6361.9</v>
      </c>
      <c r="I6" s="1">
        <f>'Data Sheet'!I50</f>
        <v>6519.39</v>
      </c>
      <c r="J6" s="1">
        <f>'Data Sheet'!J50</f>
        <v>6816.47</v>
      </c>
      <c r="K6" s="1">
        <f>'Data Sheet'!K50</f>
        <v>6694.69</v>
      </c>
    </row>
    <row r="7" spans="1:11">
      <c r="A7" s="6" t="s">
        <v>9</v>
      </c>
      <c r="B7" s="9">
        <f>'Data Sheet'!B44</f>
        <v>722.3</v>
      </c>
      <c r="C7" s="9">
        <f>'Data Sheet'!C44</f>
        <v>673.5</v>
      </c>
      <c r="D7" s="9">
        <f>'Data Sheet'!D44</f>
        <v>820.26</v>
      </c>
      <c r="E7" s="9">
        <f>'Data Sheet'!E44</f>
        <v>868</v>
      </c>
      <c r="F7" s="9">
        <f>'Data Sheet'!F44</f>
        <v>771.13</v>
      </c>
      <c r="G7" s="9">
        <f>'Data Sheet'!G44</f>
        <v>690.31</v>
      </c>
      <c r="H7" s="9">
        <f>'Data Sheet'!H44</f>
        <v>803.4</v>
      </c>
      <c r="I7" s="9">
        <f>'Data Sheet'!I44</f>
        <v>15391.28</v>
      </c>
      <c r="J7" s="9">
        <f>'Data Sheet'!J44</f>
        <v>750.97</v>
      </c>
      <c r="K7" s="9">
        <f>'Data Sheet'!K44</f>
        <v>738.84</v>
      </c>
    </row>
    <row r="8" spans="1:11">
      <c r="A8" s="6" t="s">
        <v>10</v>
      </c>
      <c r="B8" s="9">
        <f>'Data Sheet'!B45</f>
        <v>442.46</v>
      </c>
      <c r="C8" s="9">
        <f>'Data Sheet'!C45</f>
        <v>453.04</v>
      </c>
      <c r="D8" s="9">
        <f>'Data Sheet'!D45</f>
        <v>384.04</v>
      </c>
      <c r="E8" s="9">
        <f>'Data Sheet'!E45</f>
        <v>385.09</v>
      </c>
      <c r="F8" s="9">
        <f>'Data Sheet'!F45</f>
        <v>403.13</v>
      </c>
      <c r="G8" s="9">
        <f>'Data Sheet'!G45</f>
        <v>416.18</v>
      </c>
      <c r="H8" s="9">
        <f>'Data Sheet'!H45</f>
        <v>415.98</v>
      </c>
      <c r="I8" s="9">
        <f>'Data Sheet'!I45</f>
        <v>411.03</v>
      </c>
      <c r="J8" s="9">
        <f>'Data Sheet'!J45</f>
        <v>422.96</v>
      </c>
      <c r="K8" s="9">
        <f>'Data Sheet'!K45</f>
        <v>434.8</v>
      </c>
    </row>
    <row r="9" spans="1:11">
      <c r="A9" s="6" t="s">
        <v>11</v>
      </c>
      <c r="B9" s="9">
        <f>'Data Sheet'!B46</f>
        <v>9.9</v>
      </c>
      <c r="C9" s="9">
        <f>'Data Sheet'!C46</f>
        <v>9.8699999999999992</v>
      </c>
      <c r="D9" s="9">
        <f>'Data Sheet'!D46</f>
        <v>11.94</v>
      </c>
      <c r="E9" s="9">
        <f>'Data Sheet'!E46</f>
        <v>10.72</v>
      </c>
      <c r="F9" s="9">
        <f>'Data Sheet'!F46</f>
        <v>9.6</v>
      </c>
      <c r="G9" s="9">
        <f>'Data Sheet'!G46</f>
        <v>14.73</v>
      </c>
      <c r="H9" s="9">
        <f>'Data Sheet'!H46</f>
        <v>9.82</v>
      </c>
      <c r="I9" s="9">
        <f>'Data Sheet'!I46</f>
        <v>10.91</v>
      </c>
      <c r="J9" s="9">
        <f>'Data Sheet'!J46</f>
        <v>16.47</v>
      </c>
      <c r="K9" s="9">
        <f>'Data Sheet'!K46</f>
        <v>20.05</v>
      </c>
    </row>
    <row r="10" spans="1:11">
      <c r="A10" s="6" t="s">
        <v>12</v>
      </c>
      <c r="B10" s="9">
        <f>'Data Sheet'!B47</f>
        <v>6940.01</v>
      </c>
      <c r="C10" s="9">
        <f>'Data Sheet'!C47</f>
        <v>6664.83</v>
      </c>
      <c r="D10" s="9">
        <f>'Data Sheet'!D47</f>
        <v>6634.51</v>
      </c>
      <c r="E10" s="9">
        <f>'Data Sheet'!E47</f>
        <v>6774.26</v>
      </c>
      <c r="F10" s="9">
        <f>'Data Sheet'!F47</f>
        <v>6903.24</v>
      </c>
      <c r="G10" s="9">
        <f>'Data Sheet'!G47</f>
        <v>6811.48</v>
      </c>
      <c r="H10" s="9">
        <f>'Data Sheet'!H47</f>
        <v>6739.5</v>
      </c>
      <c r="I10" s="9">
        <f>'Data Sheet'!I47</f>
        <v>21488.73</v>
      </c>
      <c r="J10" s="9">
        <f>'Data Sheet'!J47</f>
        <v>7128.01</v>
      </c>
      <c r="K10" s="9">
        <f>'Data Sheet'!K47</f>
        <v>6978.68</v>
      </c>
    </row>
    <row r="11" spans="1:11">
      <c r="A11" s="6" t="s">
        <v>13</v>
      </c>
      <c r="B11" s="9">
        <f>'Data Sheet'!B48</f>
        <v>1759.89</v>
      </c>
      <c r="C11" s="9">
        <f>'Data Sheet'!C48</f>
        <v>1700.31</v>
      </c>
      <c r="D11" s="9">
        <f>'Data Sheet'!D48</f>
        <v>1227.99</v>
      </c>
      <c r="E11" s="9">
        <f>'Data Sheet'!E48</f>
        <v>1583.55</v>
      </c>
      <c r="F11" s="9">
        <f>'Data Sheet'!F48</f>
        <v>1726.25</v>
      </c>
      <c r="G11" s="9">
        <f>'Data Sheet'!G48</f>
        <v>1757.05</v>
      </c>
      <c r="H11" s="9">
        <f>'Data Sheet'!H48</f>
        <v>1726.32</v>
      </c>
      <c r="I11" s="9">
        <f>'Data Sheet'!I48</f>
        <v>1680.85</v>
      </c>
      <c r="J11" s="9">
        <f>'Data Sheet'!J48</f>
        <v>1784.6</v>
      </c>
      <c r="K11" s="9">
        <f>'Data Sheet'!K48</f>
        <v>1792.13</v>
      </c>
    </row>
    <row r="12" spans="1:11" s="8" customFormat="1">
      <c r="A12" s="8" t="s">
        <v>14</v>
      </c>
      <c r="B12" s="1">
        <f>'Data Sheet'!B49</f>
        <v>5104.93</v>
      </c>
      <c r="C12" s="1">
        <f>'Data Sheet'!C49</f>
        <v>4898.07</v>
      </c>
      <c r="D12" s="1">
        <f>'Data Sheet'!D49</f>
        <v>5335.23</v>
      </c>
      <c r="E12" s="1">
        <f>'Data Sheet'!E49</f>
        <v>5120.55</v>
      </c>
      <c r="F12" s="1">
        <f>'Data Sheet'!F49</f>
        <v>5091.59</v>
      </c>
      <c r="G12" s="1">
        <f>'Data Sheet'!G49</f>
        <v>4992.87</v>
      </c>
      <c r="H12" s="1">
        <f>'Data Sheet'!H49</f>
        <v>4934.8</v>
      </c>
      <c r="I12" s="1">
        <f>'Data Sheet'!I49</f>
        <v>19727.37</v>
      </c>
      <c r="J12" s="1">
        <f>'Data Sheet'!J49</f>
        <v>5244.2</v>
      </c>
      <c r="K12" s="1">
        <f>'Data Sheet'!K49</f>
        <v>5126.1099999999997</v>
      </c>
    </row>
    <row r="14" spans="1:11" s="8" customFormat="1">
      <c r="A14" s="2" t="s">
        <v>18</v>
      </c>
      <c r="B14" s="14">
        <f>IF(B4&gt;0,B6/B4,"")</f>
        <v>0.38859771877472404</v>
      </c>
      <c r="C14" s="14">
        <f t="shared" ref="C14:K14" si="0">IF(C4&gt;0,C6/C4,"")</f>
        <v>0.3631185627475812</v>
      </c>
      <c r="D14" s="14">
        <f t="shared" si="0"/>
        <v>0.36115983260483708</v>
      </c>
      <c r="E14" s="14">
        <f t="shared" si="0"/>
        <v>0.36988754416650038</v>
      </c>
      <c r="F14" s="14">
        <f t="shared" si="0"/>
        <v>0.36814658273431877</v>
      </c>
      <c r="G14" s="14">
        <f t="shared" si="0"/>
        <v>0.32776198127497452</v>
      </c>
      <c r="H14" s="14">
        <f t="shared" si="0"/>
        <v>0.3385759681791064</v>
      </c>
      <c r="I14" s="14">
        <f t="shared" si="0"/>
        <v>0.34742286171063153</v>
      </c>
      <c r="J14" s="14">
        <f t="shared" si="0"/>
        <v>0.31712196304313744</v>
      </c>
      <c r="K14" s="14">
        <f t="shared" si="0"/>
        <v>0.34328874047964192</v>
      </c>
    </row>
    <row r="22" s="30" customFormat="1"/>
  </sheetData>
  <hyperlinks>
    <hyperlink ref="J1" r:id="rId1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254"/>
  <sheetViews>
    <sheetView topLeftCell="A1066" workbookViewId="0">
      <selection activeCell="H1254" sqref="H1254"/>
    </sheetView>
  </sheetViews>
  <sheetFormatPr defaultRowHeight="14.4"/>
  <cols>
    <col min="2" max="2" width="10.33203125" bestFit="1" customWidth="1"/>
    <col min="3" max="3" width="12" bestFit="1" customWidth="1"/>
    <col min="8" max="8" width="18.6640625" customWidth="1"/>
    <col min="11" max="11" width="11" bestFit="1" customWidth="1"/>
    <col min="14" max="14" width="10.33203125" bestFit="1" customWidth="1"/>
  </cols>
  <sheetData>
    <row r="1" spans="2:15">
      <c r="B1" t="s">
        <v>115</v>
      </c>
      <c r="D1" t="s">
        <v>131</v>
      </c>
      <c r="N1" t="s">
        <v>114</v>
      </c>
      <c r="O1" t="s">
        <v>1132</v>
      </c>
    </row>
    <row r="2" spans="2:15">
      <c r="B2" s="46">
        <v>43357</v>
      </c>
      <c r="C2">
        <v>307.14662138716471</v>
      </c>
      <c r="D2">
        <v>12.82</v>
      </c>
      <c r="N2" s="46">
        <v>43357</v>
      </c>
      <c r="O2" t="s">
        <v>132</v>
      </c>
    </row>
    <row r="3" spans="2:15">
      <c r="B3" s="46">
        <v>43360</v>
      </c>
      <c r="C3">
        <v>302.05074452508018</v>
      </c>
      <c r="D3">
        <v>5.83</v>
      </c>
      <c r="N3" s="46">
        <v>43360</v>
      </c>
      <c r="O3" t="s">
        <v>133</v>
      </c>
    </row>
    <row r="4" spans="2:15">
      <c r="B4" s="46">
        <v>43361</v>
      </c>
      <c r="C4">
        <v>303.23756725974238</v>
      </c>
      <c r="D4">
        <v>8.1999999999999993</v>
      </c>
      <c r="N4" s="46">
        <v>43361</v>
      </c>
      <c r="O4" t="s">
        <v>134</v>
      </c>
    </row>
    <row r="5" spans="2:15">
      <c r="B5" s="46">
        <v>43362</v>
      </c>
      <c r="C5">
        <v>299.68566259384863</v>
      </c>
      <c r="D5">
        <v>6.15</v>
      </c>
      <c r="N5" s="46">
        <v>43362</v>
      </c>
      <c r="O5" t="s">
        <v>135</v>
      </c>
    </row>
    <row r="6" spans="2:15">
      <c r="B6" s="46">
        <v>43364</v>
      </c>
      <c r="C6">
        <v>303.90623750179975</v>
      </c>
      <c r="D6">
        <v>16.34</v>
      </c>
      <c r="N6" s="46">
        <v>43364</v>
      </c>
      <c r="O6" t="s">
        <v>136</v>
      </c>
    </row>
    <row r="7" spans="2:15">
      <c r="B7" s="46">
        <v>43367</v>
      </c>
      <c r="C7">
        <v>298.00870771541992</v>
      </c>
      <c r="D7">
        <v>14.45</v>
      </c>
      <c r="N7" s="46">
        <v>43367</v>
      </c>
      <c r="O7" t="s">
        <v>137</v>
      </c>
    </row>
    <row r="8" spans="2:15">
      <c r="B8" s="46">
        <v>43368</v>
      </c>
      <c r="C8">
        <v>301.11778039749743</v>
      </c>
      <c r="D8">
        <v>13.27</v>
      </c>
      <c r="N8" s="46">
        <v>43368</v>
      </c>
      <c r="O8" t="s">
        <v>138</v>
      </c>
    </row>
    <row r="9" spans="2:15">
      <c r="B9" s="46">
        <v>43369</v>
      </c>
      <c r="C9">
        <v>293.22799864764022</v>
      </c>
      <c r="D9">
        <v>19.89</v>
      </c>
      <c r="N9" s="46">
        <v>43369</v>
      </c>
      <c r="O9" t="s">
        <v>139</v>
      </c>
    </row>
    <row r="10" spans="2:15">
      <c r="B10" s="46">
        <v>43370</v>
      </c>
      <c r="C10">
        <v>293.29853350733248</v>
      </c>
      <c r="D10">
        <v>12.08</v>
      </c>
      <c r="N10" s="46">
        <v>43370</v>
      </c>
      <c r="O10" t="s">
        <v>140</v>
      </c>
    </row>
    <row r="11" spans="2:15">
      <c r="B11" s="46">
        <v>43371</v>
      </c>
      <c r="C11">
        <v>297.70474887817056</v>
      </c>
      <c r="D11">
        <v>24.61</v>
      </c>
      <c r="N11" s="46">
        <v>43371</v>
      </c>
      <c r="O11" t="s">
        <v>141</v>
      </c>
    </row>
    <row r="12" spans="2:15">
      <c r="B12" s="46">
        <v>43374</v>
      </c>
      <c r="C12">
        <v>297.10653634379958</v>
      </c>
      <c r="D12">
        <v>9.0299999999999994</v>
      </c>
      <c r="N12" s="46">
        <v>43374</v>
      </c>
      <c r="O12" t="s">
        <v>142</v>
      </c>
    </row>
    <row r="13" spans="2:15">
      <c r="B13" s="46">
        <v>43376</v>
      </c>
      <c r="C13">
        <v>295.21889400921657</v>
      </c>
      <c r="D13">
        <v>7.57</v>
      </c>
      <c r="N13" s="46">
        <v>43376</v>
      </c>
      <c r="O13" t="s">
        <v>143</v>
      </c>
    </row>
    <row r="14" spans="2:15">
      <c r="B14" s="46">
        <v>43377</v>
      </c>
      <c r="C14">
        <v>287.17868696022714</v>
      </c>
      <c r="D14">
        <v>8.11</v>
      </c>
      <c r="N14" s="46">
        <v>43377</v>
      </c>
      <c r="O14" t="s">
        <v>144</v>
      </c>
    </row>
    <row r="15" spans="2:15">
      <c r="B15" s="46">
        <v>43378</v>
      </c>
      <c r="C15">
        <v>276.60206616241391</v>
      </c>
      <c r="D15">
        <v>17.62</v>
      </c>
      <c r="N15" s="46">
        <v>43378</v>
      </c>
      <c r="O15" t="s">
        <v>145</v>
      </c>
    </row>
    <row r="16" spans="2:15">
      <c r="B16" s="46">
        <v>43381</v>
      </c>
      <c r="C16">
        <v>273.23251466924563</v>
      </c>
      <c r="D16">
        <v>16.43</v>
      </c>
      <c r="N16" s="46">
        <v>43381</v>
      </c>
      <c r="O16" t="s">
        <v>146</v>
      </c>
    </row>
    <row r="17" spans="2:15">
      <c r="B17" s="46">
        <v>43382</v>
      </c>
      <c r="C17">
        <v>268.54618994467046</v>
      </c>
      <c r="D17">
        <v>10.54</v>
      </c>
      <c r="N17" s="46">
        <v>43382</v>
      </c>
      <c r="O17" t="s">
        <v>147</v>
      </c>
    </row>
    <row r="18" spans="2:15">
      <c r="B18" s="46">
        <v>43383</v>
      </c>
      <c r="C18">
        <v>270.08379497230169</v>
      </c>
      <c r="D18">
        <v>11.48</v>
      </c>
      <c r="N18" s="46">
        <v>43383</v>
      </c>
      <c r="O18" t="s">
        <v>148</v>
      </c>
    </row>
    <row r="19" spans="2:15">
      <c r="B19" s="46">
        <v>43384</v>
      </c>
      <c r="C19">
        <v>265.24800988979001</v>
      </c>
      <c r="D19">
        <v>10.61</v>
      </c>
      <c r="N19" s="46">
        <v>43384</v>
      </c>
      <c r="O19" t="s">
        <v>149</v>
      </c>
    </row>
    <row r="20" spans="2:15">
      <c r="B20" s="46">
        <v>43385</v>
      </c>
      <c r="C20">
        <v>275.09628869916037</v>
      </c>
      <c r="D20">
        <v>13.43</v>
      </c>
      <c r="N20" s="46">
        <v>43385</v>
      </c>
      <c r="O20" t="s">
        <v>150</v>
      </c>
    </row>
    <row r="21" spans="2:15">
      <c r="B21" s="46">
        <v>43388</v>
      </c>
      <c r="C21">
        <v>282.42515733330669</v>
      </c>
      <c r="D21">
        <v>17.93</v>
      </c>
      <c r="N21" s="46">
        <v>43388</v>
      </c>
      <c r="O21" t="s">
        <v>151</v>
      </c>
    </row>
    <row r="22" spans="2:15">
      <c r="B22" s="46">
        <v>43389</v>
      </c>
      <c r="C22">
        <v>282.6485867570662</v>
      </c>
      <c r="D22">
        <v>11.87</v>
      </c>
      <c r="N22" s="46">
        <v>43389</v>
      </c>
      <c r="O22" t="s">
        <v>152</v>
      </c>
    </row>
    <row r="23" spans="2:15">
      <c r="B23" s="46">
        <v>43390</v>
      </c>
      <c r="C23">
        <v>286.41162084280705</v>
      </c>
      <c r="D23">
        <v>15.31</v>
      </c>
      <c r="N23" s="46">
        <v>43390</v>
      </c>
      <c r="O23" t="s">
        <v>153</v>
      </c>
    </row>
    <row r="24" spans="2:15">
      <c r="B24" s="46">
        <v>43392</v>
      </c>
      <c r="C24">
        <v>289.41961094085121</v>
      </c>
      <c r="D24">
        <v>8.0299999999999994</v>
      </c>
      <c r="N24" s="46">
        <v>43392</v>
      </c>
      <c r="O24" t="s">
        <v>154</v>
      </c>
    </row>
    <row r="25" spans="2:15">
      <c r="B25" s="46">
        <v>43395</v>
      </c>
      <c r="C25">
        <v>288.50952081418683</v>
      </c>
      <c r="D25">
        <v>12.48</v>
      </c>
      <c r="N25" s="46">
        <v>43395</v>
      </c>
      <c r="O25" t="s">
        <v>155</v>
      </c>
    </row>
    <row r="26" spans="2:15">
      <c r="B26" s="46">
        <v>43396</v>
      </c>
      <c r="C26">
        <v>286.02488416492236</v>
      </c>
      <c r="D26">
        <v>10.84</v>
      </c>
      <c r="N26" s="46">
        <v>43396</v>
      </c>
      <c r="O26" t="s">
        <v>156</v>
      </c>
    </row>
    <row r="27" spans="2:15" ht="15" thickBot="1">
      <c r="B27" s="46">
        <v>43397</v>
      </c>
      <c r="C27">
        <v>287.7324483206524</v>
      </c>
      <c r="D27">
        <v>8.69</v>
      </c>
      <c r="N27" s="46">
        <v>43397</v>
      </c>
      <c r="O27" t="s">
        <v>157</v>
      </c>
    </row>
    <row r="28" spans="2:15" ht="31.2" thickBot="1">
      <c r="B28" s="46">
        <v>43398</v>
      </c>
      <c r="C28">
        <v>287.55201286409005</v>
      </c>
      <c r="D28">
        <v>9.58</v>
      </c>
      <c r="G28" s="53" t="s">
        <v>1134</v>
      </c>
      <c r="H28" s="54" t="s">
        <v>1135</v>
      </c>
      <c r="I28" s="54" t="s">
        <v>1136</v>
      </c>
      <c r="J28" s="61" t="s">
        <v>1137</v>
      </c>
      <c r="N28" s="46">
        <v>43398</v>
      </c>
      <c r="O28" t="s">
        <v>158</v>
      </c>
    </row>
    <row r="29" spans="2:15" ht="41.4" thickBot="1">
      <c r="B29" s="46">
        <v>43399</v>
      </c>
      <c r="C29">
        <v>280.96490289256815</v>
      </c>
      <c r="D29">
        <v>21.48</v>
      </c>
      <c r="G29" s="55" t="s">
        <v>1138</v>
      </c>
      <c r="H29" s="56">
        <v>2228495863</v>
      </c>
      <c r="I29" s="57">
        <v>17.79</v>
      </c>
      <c r="J29" s="62">
        <v>45901</v>
      </c>
      <c r="N29" s="46">
        <v>43399</v>
      </c>
      <c r="O29" t="s">
        <v>159</v>
      </c>
    </row>
    <row r="30" spans="2:15" ht="41.4" thickBot="1">
      <c r="B30" s="46">
        <v>43402</v>
      </c>
      <c r="C30">
        <v>283.47363695176352</v>
      </c>
      <c r="D30">
        <v>11.34</v>
      </c>
      <c r="G30" s="55" t="s">
        <v>1139</v>
      </c>
      <c r="H30" s="56">
        <v>1985807233</v>
      </c>
      <c r="I30" s="57">
        <v>15.86</v>
      </c>
      <c r="J30" s="62">
        <v>45901</v>
      </c>
      <c r="N30" s="46">
        <v>43402</v>
      </c>
      <c r="O30" t="s">
        <v>160</v>
      </c>
    </row>
    <row r="31" spans="2:15" ht="51.6" thickBot="1">
      <c r="B31" s="46">
        <v>43403</v>
      </c>
      <c r="C31">
        <v>278.99463914226277</v>
      </c>
      <c r="D31">
        <v>6.85</v>
      </c>
      <c r="G31" s="55" t="s">
        <v>1140</v>
      </c>
      <c r="H31" s="56">
        <v>974531427</v>
      </c>
      <c r="I31" s="57">
        <v>7.78</v>
      </c>
      <c r="J31" s="62">
        <v>45901</v>
      </c>
      <c r="N31" s="46">
        <v>43403</v>
      </c>
      <c r="O31" t="s">
        <v>161</v>
      </c>
    </row>
    <row r="32" spans="2:15" ht="51.6" thickBot="1">
      <c r="B32" s="46">
        <v>43404</v>
      </c>
      <c r="C32">
        <v>280.08851637082881</v>
      </c>
      <c r="D32">
        <v>13.5</v>
      </c>
      <c r="G32" s="55" t="s">
        <v>1141</v>
      </c>
      <c r="H32" s="56">
        <v>486311940</v>
      </c>
      <c r="I32" s="57">
        <v>3.88</v>
      </c>
      <c r="J32" s="62">
        <v>45901</v>
      </c>
      <c r="N32" s="46">
        <v>43404</v>
      </c>
      <c r="O32" t="s">
        <v>162</v>
      </c>
    </row>
    <row r="33" spans="2:15" ht="31.2" thickBot="1">
      <c r="B33" s="46">
        <v>43405</v>
      </c>
      <c r="C33">
        <v>277.4266329567638</v>
      </c>
      <c r="D33">
        <v>9.4499999999999993</v>
      </c>
      <c r="G33" s="55" t="s">
        <v>1142</v>
      </c>
      <c r="H33" s="56">
        <v>407984095</v>
      </c>
      <c r="I33" s="57">
        <v>3.26</v>
      </c>
      <c r="J33" s="62">
        <v>45901</v>
      </c>
      <c r="N33" s="46">
        <v>43405</v>
      </c>
      <c r="O33" t="s">
        <v>163</v>
      </c>
    </row>
    <row r="34" spans="2:15" ht="51.6" thickBot="1">
      <c r="B34" s="46">
        <v>43406</v>
      </c>
      <c r="C34">
        <v>283.190246857913</v>
      </c>
      <c r="D34">
        <v>11.64</v>
      </c>
      <c r="G34" s="55" t="s">
        <v>1143</v>
      </c>
      <c r="H34" s="56">
        <v>339904658</v>
      </c>
      <c r="I34" s="57">
        <v>2.71</v>
      </c>
      <c r="J34" s="62">
        <v>45901</v>
      </c>
      <c r="N34" s="46">
        <v>43406</v>
      </c>
      <c r="O34" t="s">
        <v>164</v>
      </c>
    </row>
    <row r="35" spans="2:15" ht="41.4" thickBot="1">
      <c r="B35" s="46">
        <v>43409</v>
      </c>
      <c r="C35">
        <v>279.6360730534239</v>
      </c>
      <c r="D35">
        <v>7.38</v>
      </c>
      <c r="G35" s="55" t="s">
        <v>1144</v>
      </c>
      <c r="H35" s="56">
        <v>285350493</v>
      </c>
      <c r="I35" s="57">
        <v>2.2799999999999998</v>
      </c>
      <c r="J35" s="62">
        <v>45901</v>
      </c>
      <c r="N35" s="46">
        <v>43409</v>
      </c>
      <c r="O35" t="s">
        <v>165</v>
      </c>
    </row>
    <row r="36" spans="2:15" ht="61.8" thickBot="1">
      <c r="B36" s="46">
        <v>43410</v>
      </c>
      <c r="C36">
        <v>277.32274046471815</v>
      </c>
      <c r="D36">
        <v>9.77</v>
      </c>
      <c r="G36" s="55" t="s">
        <v>1145</v>
      </c>
      <c r="H36" s="56">
        <v>263434398</v>
      </c>
      <c r="I36" s="57">
        <v>2.1</v>
      </c>
      <c r="J36" s="62">
        <v>45901</v>
      </c>
      <c r="N36" s="46">
        <v>43410</v>
      </c>
      <c r="O36" t="s">
        <v>166</v>
      </c>
    </row>
    <row r="37" spans="2:15" ht="41.4" thickBot="1">
      <c r="B37" s="46">
        <v>43411</v>
      </c>
      <c r="C37">
        <v>280.02227779449834</v>
      </c>
      <c r="D37" t="s">
        <v>167</v>
      </c>
      <c r="G37" s="55" t="s">
        <v>1146</v>
      </c>
      <c r="H37" s="56">
        <v>217085508</v>
      </c>
      <c r="I37" s="57">
        <v>1.73</v>
      </c>
      <c r="J37" s="62">
        <v>45901</v>
      </c>
      <c r="N37" s="46">
        <v>43411</v>
      </c>
      <c r="O37" t="s">
        <v>167</v>
      </c>
    </row>
    <row r="38" spans="2:15" ht="112.8" thickBot="1">
      <c r="B38" s="46">
        <v>43413</v>
      </c>
      <c r="C38">
        <v>277.27772777277727</v>
      </c>
      <c r="D38">
        <v>15.03</v>
      </c>
      <c r="G38" s="58" t="s">
        <v>1147</v>
      </c>
      <c r="H38" s="59">
        <v>207091795</v>
      </c>
      <c r="I38" s="60">
        <v>1.65</v>
      </c>
      <c r="J38" s="63">
        <v>45901</v>
      </c>
      <c r="N38" s="46">
        <v>43413</v>
      </c>
      <c r="O38" t="s">
        <v>168</v>
      </c>
    </row>
    <row r="39" spans="2:15">
      <c r="B39" s="46">
        <v>43416</v>
      </c>
      <c r="C39">
        <v>273.88368769358635</v>
      </c>
      <c r="D39">
        <v>7.05</v>
      </c>
      <c r="N39" s="46">
        <v>43416</v>
      </c>
      <c r="O39" t="s">
        <v>169</v>
      </c>
    </row>
    <row r="40" spans="2:15">
      <c r="B40" s="46">
        <v>43417</v>
      </c>
      <c r="C40">
        <v>276.81954984951653</v>
      </c>
      <c r="D40">
        <v>6.7</v>
      </c>
      <c r="N40" s="46">
        <v>43417</v>
      </c>
      <c r="O40" t="s">
        <v>170</v>
      </c>
    </row>
    <row r="41" spans="2:15">
      <c r="B41" s="46">
        <v>43418</v>
      </c>
      <c r="C41">
        <v>276.45387035418491</v>
      </c>
      <c r="D41">
        <v>6.92</v>
      </c>
      <c r="N41" s="46">
        <v>43418</v>
      </c>
      <c r="O41" t="s">
        <v>171</v>
      </c>
    </row>
    <row r="42" spans="2:15">
      <c r="B42" s="46">
        <v>43419</v>
      </c>
      <c r="C42">
        <v>274.51949088385277</v>
      </c>
      <c r="D42">
        <v>12.15</v>
      </c>
      <c r="N42" s="46">
        <v>43419</v>
      </c>
      <c r="O42" t="s">
        <v>172</v>
      </c>
    </row>
    <row r="43" spans="2:15">
      <c r="B43" s="46">
        <v>43420</v>
      </c>
      <c r="C43">
        <v>276.52926030547707</v>
      </c>
      <c r="D43">
        <v>12.64</v>
      </c>
      <c r="N43" s="46">
        <v>43420</v>
      </c>
      <c r="O43" t="s">
        <v>173</v>
      </c>
    </row>
    <row r="44" spans="2:15">
      <c r="B44" s="46">
        <v>43423</v>
      </c>
      <c r="C44">
        <v>284.41837192725689</v>
      </c>
      <c r="D44">
        <v>16.72</v>
      </c>
      <c r="N44" s="46">
        <v>43423</v>
      </c>
      <c r="O44" t="s">
        <v>174</v>
      </c>
    </row>
    <row r="45" spans="2:15">
      <c r="B45" s="46">
        <v>43424</v>
      </c>
      <c r="C45">
        <v>283.85652870016014</v>
      </c>
      <c r="D45">
        <v>7.8</v>
      </c>
      <c r="N45" s="46">
        <v>43424</v>
      </c>
      <c r="O45" t="s">
        <v>175</v>
      </c>
    </row>
    <row r="46" spans="2:15">
      <c r="B46" s="46">
        <v>43425</v>
      </c>
      <c r="C46">
        <v>281.7708510429772</v>
      </c>
      <c r="D46">
        <v>5.65</v>
      </c>
      <c r="N46" s="46">
        <v>43425</v>
      </c>
      <c r="O46" t="s">
        <v>176</v>
      </c>
    </row>
    <row r="47" spans="2:15">
      <c r="B47" s="46">
        <v>43426</v>
      </c>
      <c r="C47">
        <v>280.5123425430719</v>
      </c>
      <c r="D47">
        <v>6.68</v>
      </c>
      <c r="N47" s="46">
        <v>43426</v>
      </c>
      <c r="O47" t="s">
        <v>177</v>
      </c>
    </row>
    <row r="48" spans="2:15">
      <c r="B48" s="46">
        <v>43430</v>
      </c>
      <c r="C48">
        <v>285.59745006918723</v>
      </c>
      <c r="D48">
        <v>8.9499999999999993</v>
      </c>
      <c r="N48" s="46">
        <v>43430</v>
      </c>
      <c r="O48" t="s">
        <v>178</v>
      </c>
    </row>
    <row r="49" spans="2:15">
      <c r="B49" s="46">
        <v>43431</v>
      </c>
      <c r="C49">
        <v>284.85797602332866</v>
      </c>
      <c r="D49">
        <v>6.88</v>
      </c>
      <c r="N49" s="46">
        <v>43431</v>
      </c>
      <c r="O49" t="s">
        <v>179</v>
      </c>
    </row>
    <row r="50" spans="2:15">
      <c r="B50" s="46">
        <v>43432</v>
      </c>
      <c r="C50">
        <v>282.22624704097478</v>
      </c>
      <c r="D50">
        <v>8.86</v>
      </c>
      <c r="N50" s="46">
        <v>43432</v>
      </c>
      <c r="O50" t="s">
        <v>180</v>
      </c>
    </row>
    <row r="51" spans="2:15">
      <c r="B51" s="46">
        <v>43433</v>
      </c>
      <c r="C51">
        <v>287.4953758785831</v>
      </c>
      <c r="D51">
        <v>13.66</v>
      </c>
      <c r="N51" s="46">
        <v>43433</v>
      </c>
      <c r="O51" t="s">
        <v>181</v>
      </c>
    </row>
    <row r="52" spans="2:15">
      <c r="B52" s="46">
        <v>43434</v>
      </c>
      <c r="C52">
        <v>285.81743486352667</v>
      </c>
      <c r="D52">
        <v>8.64</v>
      </c>
      <c r="N52" s="46">
        <v>43434</v>
      </c>
      <c r="O52" t="s">
        <v>182</v>
      </c>
    </row>
    <row r="53" spans="2:15">
      <c r="B53" s="46">
        <v>43437</v>
      </c>
      <c r="C53">
        <v>282.97829782978295</v>
      </c>
      <c r="D53">
        <v>8.57</v>
      </c>
      <c r="N53" s="46">
        <v>43437</v>
      </c>
      <c r="O53" t="s">
        <v>183</v>
      </c>
    </row>
    <row r="54" spans="2:15">
      <c r="B54" s="46">
        <v>43438</v>
      </c>
      <c r="C54">
        <v>281.86099257871058</v>
      </c>
      <c r="D54">
        <v>6.31</v>
      </c>
      <c r="N54" s="46">
        <v>43438</v>
      </c>
      <c r="O54" t="s">
        <v>184</v>
      </c>
    </row>
    <row r="55" spans="2:15">
      <c r="B55" s="46">
        <v>43439</v>
      </c>
      <c r="C55">
        <v>275.41362054634624</v>
      </c>
      <c r="D55">
        <v>11.45</v>
      </c>
      <c r="N55" s="46">
        <v>43439</v>
      </c>
      <c r="O55" t="s">
        <v>185</v>
      </c>
    </row>
    <row r="56" spans="2:15">
      <c r="B56" s="46">
        <v>43440</v>
      </c>
      <c r="C56">
        <v>273.07293812680268</v>
      </c>
      <c r="D56">
        <v>9.68</v>
      </c>
      <c r="N56" s="46">
        <v>43440</v>
      </c>
      <c r="O56" t="s">
        <v>186</v>
      </c>
    </row>
    <row r="57" spans="2:15">
      <c r="B57" s="46">
        <v>43441</v>
      </c>
      <c r="C57">
        <v>274.03986052516058</v>
      </c>
      <c r="D57">
        <v>8.1</v>
      </c>
      <c r="N57" s="46">
        <v>43441</v>
      </c>
      <c r="O57" t="s">
        <v>187</v>
      </c>
    </row>
    <row r="58" spans="2:15">
      <c r="B58" s="46">
        <v>43444</v>
      </c>
      <c r="C58">
        <v>270.48543359180053</v>
      </c>
      <c r="D58">
        <v>6.68</v>
      </c>
      <c r="N58" s="46">
        <v>43444</v>
      </c>
      <c r="O58" t="s">
        <v>177</v>
      </c>
    </row>
    <row r="59" spans="2:15">
      <c r="B59" s="46">
        <v>43445</v>
      </c>
      <c r="C59">
        <v>274.65687887001741</v>
      </c>
      <c r="D59">
        <v>10.24</v>
      </c>
      <c r="N59" s="46">
        <v>43445</v>
      </c>
      <c r="O59" t="s">
        <v>188</v>
      </c>
    </row>
    <row r="60" spans="2:15">
      <c r="B60" s="46">
        <v>43446</v>
      </c>
      <c r="C60">
        <v>276.03647421276361</v>
      </c>
      <c r="D60">
        <v>10.08</v>
      </c>
      <c r="N60" s="46">
        <v>43446</v>
      </c>
      <c r="O60" t="s">
        <v>189</v>
      </c>
    </row>
    <row r="61" spans="2:15">
      <c r="B61" s="46">
        <v>43447</v>
      </c>
      <c r="C61">
        <v>275.30743330069913</v>
      </c>
      <c r="D61">
        <v>15.82</v>
      </c>
      <c r="K61">
        <v>10000000</v>
      </c>
      <c r="N61" s="46">
        <v>43447</v>
      </c>
      <c r="O61" t="s">
        <v>190</v>
      </c>
    </row>
    <row r="62" spans="2:15">
      <c r="B62" s="46">
        <v>43448</v>
      </c>
      <c r="C62">
        <v>275.74558807059088</v>
      </c>
      <c r="D62">
        <v>8.59</v>
      </c>
      <c r="N62" s="46">
        <v>43448</v>
      </c>
      <c r="O62" t="s">
        <v>191</v>
      </c>
    </row>
    <row r="63" spans="2:15">
      <c r="B63" s="46">
        <v>43451</v>
      </c>
      <c r="C63">
        <v>279.80830856202431</v>
      </c>
      <c r="D63">
        <v>12.23</v>
      </c>
      <c r="H63" t="s">
        <v>1134</v>
      </c>
      <c r="I63" t="s">
        <v>1135</v>
      </c>
      <c r="J63" t="s">
        <v>1136</v>
      </c>
      <c r="K63" t="s">
        <v>1149</v>
      </c>
      <c r="L63" t="s">
        <v>1150</v>
      </c>
      <c r="N63" s="46">
        <v>43451</v>
      </c>
      <c r="O63" t="s">
        <v>192</v>
      </c>
    </row>
    <row r="64" spans="2:15">
      <c r="B64" s="46">
        <v>43452</v>
      </c>
      <c r="C64">
        <v>278.16696818505926</v>
      </c>
      <c r="D64">
        <v>8.83</v>
      </c>
      <c r="H64" t="s">
        <v>1138</v>
      </c>
      <c r="I64">
        <v>2228495863</v>
      </c>
      <c r="J64">
        <v>17.79</v>
      </c>
      <c r="K64" s="51">
        <v>222.8495863</v>
      </c>
      <c r="L64">
        <v>101062.28738705</v>
      </c>
      <c r="N64" s="46">
        <v>43452</v>
      </c>
      <c r="O64" t="s">
        <v>193</v>
      </c>
    </row>
    <row r="65" spans="2:15">
      <c r="B65" s="46">
        <v>43453</v>
      </c>
      <c r="C65">
        <v>283.39587138856479</v>
      </c>
      <c r="D65">
        <v>13.13</v>
      </c>
      <c r="H65" t="s">
        <v>1139</v>
      </c>
      <c r="I65">
        <v>1985807233</v>
      </c>
      <c r="J65">
        <v>15.86</v>
      </c>
      <c r="K65" s="51">
        <v>198.58072329999999</v>
      </c>
      <c r="L65">
        <v>90056.358016549988</v>
      </c>
      <c r="N65" s="46">
        <v>43453</v>
      </c>
      <c r="O65" t="s">
        <v>194</v>
      </c>
    </row>
    <row r="66" spans="2:15">
      <c r="B66" s="46">
        <v>43454</v>
      </c>
      <c r="C66">
        <v>282.65791442160378</v>
      </c>
      <c r="D66">
        <v>4.96</v>
      </c>
      <c r="H66" t="s">
        <v>1140</v>
      </c>
      <c r="I66">
        <v>974531427</v>
      </c>
      <c r="J66">
        <v>7.78</v>
      </c>
      <c r="K66" s="51">
        <v>97.453142700000001</v>
      </c>
      <c r="L66">
        <v>44195.000214450003</v>
      </c>
      <c r="N66" s="46">
        <v>43454</v>
      </c>
      <c r="O66" t="s">
        <v>195</v>
      </c>
    </row>
    <row r="67" spans="2:15">
      <c r="B67" s="46">
        <v>43455</v>
      </c>
      <c r="C67">
        <v>276.8078528412438</v>
      </c>
      <c r="D67">
        <v>6.82</v>
      </c>
      <c r="H67" t="s">
        <v>1141</v>
      </c>
      <c r="I67">
        <v>486311940</v>
      </c>
      <c r="J67">
        <v>3.88</v>
      </c>
      <c r="K67" s="51">
        <v>48.631194000000001</v>
      </c>
      <c r="L67">
        <v>22054.246479000001</v>
      </c>
      <c r="N67" s="46">
        <v>43455</v>
      </c>
      <c r="O67" t="s">
        <v>196</v>
      </c>
    </row>
    <row r="68" spans="2:15">
      <c r="B68" s="46">
        <v>43458</v>
      </c>
      <c r="C68">
        <v>276.00745220120945</v>
      </c>
      <c r="D68">
        <v>8.5399999999999991</v>
      </c>
      <c r="H68" t="s">
        <v>1142</v>
      </c>
      <c r="I68">
        <v>407984095</v>
      </c>
      <c r="J68">
        <v>3.26</v>
      </c>
      <c r="K68" s="51">
        <v>40.798409499999998</v>
      </c>
      <c r="L68">
        <v>18502.078708249999</v>
      </c>
      <c r="N68" s="46">
        <v>43458</v>
      </c>
      <c r="O68" t="s">
        <v>197</v>
      </c>
    </row>
    <row r="69" spans="2:15">
      <c r="B69" s="46">
        <v>43460</v>
      </c>
      <c r="C69">
        <v>276.64336055934655</v>
      </c>
      <c r="D69">
        <v>8.49</v>
      </c>
      <c r="H69" t="s">
        <v>1143</v>
      </c>
      <c r="I69">
        <v>339904658</v>
      </c>
      <c r="J69">
        <v>2.71</v>
      </c>
      <c r="K69" s="51">
        <v>33.990465800000003</v>
      </c>
      <c r="L69">
        <v>15414.676240300001</v>
      </c>
      <c r="N69" s="46">
        <v>43460</v>
      </c>
      <c r="O69" t="s">
        <v>198</v>
      </c>
    </row>
    <row r="70" spans="2:15">
      <c r="B70" s="46">
        <v>43461</v>
      </c>
      <c r="C70">
        <v>280.708455148638</v>
      </c>
      <c r="D70">
        <v>11.44</v>
      </c>
      <c r="H70" t="s">
        <v>1144</v>
      </c>
      <c r="I70">
        <v>285350493</v>
      </c>
      <c r="J70">
        <v>2.2799999999999998</v>
      </c>
      <c r="K70" s="51">
        <v>28.535049300000001</v>
      </c>
      <c r="L70">
        <v>12940.64485755</v>
      </c>
      <c r="N70" s="46">
        <v>43461</v>
      </c>
      <c r="O70" t="s">
        <v>199</v>
      </c>
    </row>
    <row r="71" spans="2:15">
      <c r="B71" s="46">
        <v>43462</v>
      </c>
      <c r="C71">
        <v>282.23504154279823</v>
      </c>
      <c r="D71">
        <v>13.19</v>
      </c>
      <c r="H71" t="s">
        <v>1145</v>
      </c>
      <c r="I71">
        <v>263434398</v>
      </c>
      <c r="J71">
        <v>2.1</v>
      </c>
      <c r="K71" s="51">
        <v>26.343439799999999</v>
      </c>
      <c r="L71">
        <v>11946.7499493</v>
      </c>
      <c r="N71" s="46">
        <v>43462</v>
      </c>
      <c r="O71" t="s">
        <v>200</v>
      </c>
    </row>
    <row r="72" spans="2:15">
      <c r="B72" s="46">
        <v>43465</v>
      </c>
      <c r="C72">
        <v>281.65591477421026</v>
      </c>
      <c r="D72">
        <v>5.45</v>
      </c>
      <c r="H72" t="s">
        <v>1146</v>
      </c>
      <c r="I72">
        <v>217085508</v>
      </c>
      <c r="J72">
        <v>1.73</v>
      </c>
      <c r="K72" s="51">
        <v>21.708550800000001</v>
      </c>
      <c r="L72">
        <v>9844.8277878000008</v>
      </c>
      <c r="N72" s="46">
        <v>43465</v>
      </c>
      <c r="O72" t="s">
        <v>201</v>
      </c>
    </row>
    <row r="73" spans="2:15">
      <c r="B73" s="46">
        <v>43466</v>
      </c>
      <c r="C73">
        <v>282.68954048700198</v>
      </c>
      <c r="D73">
        <v>2.4900000000000002</v>
      </c>
      <c r="H73" t="s">
        <v>1159</v>
      </c>
      <c r="I73">
        <v>207091795</v>
      </c>
      <c r="J73">
        <v>1.65</v>
      </c>
      <c r="K73" s="51">
        <v>20.709179500000001</v>
      </c>
      <c r="L73">
        <v>9391.6129032500012</v>
      </c>
      <c r="N73" s="46">
        <v>43466</v>
      </c>
      <c r="O73" t="s">
        <v>202</v>
      </c>
    </row>
    <row r="74" spans="2:15">
      <c r="B74" s="46">
        <v>43467</v>
      </c>
      <c r="C74">
        <v>280.62076593667933</v>
      </c>
      <c r="D74">
        <v>9.93</v>
      </c>
      <c r="N74" s="46">
        <v>43467</v>
      </c>
      <c r="O74" t="s">
        <v>203</v>
      </c>
    </row>
    <row r="75" spans="2:15">
      <c r="B75" s="46">
        <v>43468</v>
      </c>
      <c r="C75">
        <v>278.86728977196589</v>
      </c>
      <c r="D75">
        <v>6.11</v>
      </c>
      <c r="N75" s="46">
        <v>43468</v>
      </c>
      <c r="O75" t="s">
        <v>204</v>
      </c>
    </row>
    <row r="76" spans="2:15">
      <c r="B76" s="46">
        <v>43469</v>
      </c>
      <c r="C76">
        <v>280.92893033022523</v>
      </c>
      <c r="D76">
        <v>7.81</v>
      </c>
      <c r="N76" s="46">
        <v>43469</v>
      </c>
      <c r="O76" t="s">
        <v>205</v>
      </c>
    </row>
    <row r="77" spans="2:15">
      <c r="B77" s="46">
        <v>43472</v>
      </c>
      <c r="C77">
        <v>281.64295892602684</v>
      </c>
      <c r="D77">
        <v>9.76</v>
      </c>
      <c r="N77" s="46">
        <v>43472</v>
      </c>
      <c r="O77" t="s">
        <v>206</v>
      </c>
    </row>
    <row r="78" spans="2:15">
      <c r="B78" s="46">
        <v>43473</v>
      </c>
      <c r="C78">
        <v>284.2238514056707</v>
      </c>
      <c r="D78">
        <v>7.48</v>
      </c>
      <c r="N78" s="46">
        <v>43473</v>
      </c>
      <c r="O78" t="s">
        <v>207</v>
      </c>
    </row>
    <row r="79" spans="2:15">
      <c r="B79" s="46">
        <v>43474</v>
      </c>
      <c r="C79">
        <v>290.33728714597646</v>
      </c>
      <c r="D79">
        <v>12.18</v>
      </c>
      <c r="N79" s="46">
        <v>43474</v>
      </c>
      <c r="O79" t="s">
        <v>208</v>
      </c>
    </row>
    <row r="80" spans="2:15">
      <c r="B80" s="46">
        <v>43475</v>
      </c>
      <c r="C80">
        <v>289.60810902705276</v>
      </c>
      <c r="D80">
        <v>10.29</v>
      </c>
      <c r="N80" s="46">
        <v>43475</v>
      </c>
      <c r="O80" t="s">
        <v>209</v>
      </c>
    </row>
    <row r="81" spans="2:15">
      <c r="B81" s="46">
        <v>43476</v>
      </c>
      <c r="C81">
        <v>295.29123704382829</v>
      </c>
      <c r="D81">
        <v>16.77</v>
      </c>
      <c r="N81" s="46">
        <v>43476</v>
      </c>
      <c r="O81" t="s">
        <v>210</v>
      </c>
    </row>
    <row r="82" spans="2:15">
      <c r="B82" s="46">
        <v>43479</v>
      </c>
      <c r="C82">
        <v>294.31059518142655</v>
      </c>
      <c r="D82">
        <v>6.4</v>
      </c>
      <c r="N82" s="46">
        <v>43479</v>
      </c>
      <c r="O82" t="s">
        <v>211</v>
      </c>
    </row>
    <row r="83" spans="2:15">
      <c r="B83" s="46">
        <v>43480</v>
      </c>
      <c r="C83">
        <v>296.52746391274263</v>
      </c>
      <c r="D83">
        <v>7.21</v>
      </c>
      <c r="N83" s="46">
        <v>43480</v>
      </c>
      <c r="O83" t="s">
        <v>212</v>
      </c>
    </row>
    <row r="84" spans="2:15">
      <c r="B84" s="46">
        <v>43481</v>
      </c>
      <c r="C84">
        <v>294.07470227499113</v>
      </c>
      <c r="D84">
        <v>7.78</v>
      </c>
      <c r="N84" s="46">
        <v>43481</v>
      </c>
      <c r="O84" t="s">
        <v>213</v>
      </c>
    </row>
    <row r="85" spans="2:15">
      <c r="B85" s="46">
        <v>43482</v>
      </c>
      <c r="C85">
        <v>293.95088185264552</v>
      </c>
      <c r="D85">
        <v>10.6</v>
      </c>
      <c r="N85" s="46">
        <v>43482</v>
      </c>
      <c r="O85" t="s">
        <v>214</v>
      </c>
    </row>
    <row r="86" spans="2:15">
      <c r="B86" s="46">
        <v>43483</v>
      </c>
      <c r="C86">
        <v>291.47477535590525</v>
      </c>
      <c r="D86">
        <v>10.99</v>
      </c>
      <c r="N86" s="46">
        <v>43483</v>
      </c>
      <c r="O86" t="s">
        <v>215</v>
      </c>
    </row>
    <row r="87" spans="2:15">
      <c r="B87" s="46">
        <v>43486</v>
      </c>
      <c r="C87">
        <v>289.91536551437224</v>
      </c>
      <c r="D87">
        <v>8.1999999999999993</v>
      </c>
      <c r="N87" s="46">
        <v>43486</v>
      </c>
      <c r="O87" t="s">
        <v>134</v>
      </c>
    </row>
    <row r="88" spans="2:15">
      <c r="B88" s="46">
        <v>43487</v>
      </c>
      <c r="C88">
        <v>289.75144875724379</v>
      </c>
      <c r="D88">
        <v>10.33</v>
      </c>
      <c r="N88" s="46">
        <v>43487</v>
      </c>
      <c r="O88" t="s">
        <v>216</v>
      </c>
    </row>
    <row r="89" spans="2:15">
      <c r="B89" s="46">
        <v>43488</v>
      </c>
      <c r="C89">
        <v>277.41929029482679</v>
      </c>
      <c r="D89">
        <v>40.19</v>
      </c>
      <c r="N89" s="46">
        <v>43488</v>
      </c>
      <c r="O89" t="s">
        <v>217</v>
      </c>
    </row>
    <row r="90" spans="2:15">
      <c r="B90" s="46">
        <v>43489</v>
      </c>
      <c r="C90">
        <v>278.88382473816517</v>
      </c>
      <c r="D90">
        <v>28.03</v>
      </c>
      <c r="N90" s="46">
        <v>43489</v>
      </c>
      <c r="O90" t="s">
        <v>218</v>
      </c>
    </row>
    <row r="91" spans="2:15">
      <c r="B91" s="46">
        <v>43490</v>
      </c>
      <c r="C91">
        <v>279.19692883378281</v>
      </c>
      <c r="D91">
        <v>8.9</v>
      </c>
      <c r="N91" s="46">
        <v>43490</v>
      </c>
      <c r="O91" t="s">
        <v>219</v>
      </c>
    </row>
    <row r="92" spans="2:15">
      <c r="B92" s="46">
        <v>43493</v>
      </c>
      <c r="C92">
        <v>274.79369219705933</v>
      </c>
      <c r="D92">
        <v>8.99</v>
      </c>
      <c r="N92" s="46">
        <v>43493</v>
      </c>
      <c r="O92" t="s">
        <v>220</v>
      </c>
    </row>
    <row r="93" spans="2:15">
      <c r="B93" s="46">
        <v>43494</v>
      </c>
      <c r="C93">
        <v>278.41241432406622</v>
      </c>
      <c r="D93">
        <v>7</v>
      </c>
      <c r="N93" s="46">
        <v>43494</v>
      </c>
      <c r="O93" t="s">
        <v>221</v>
      </c>
    </row>
    <row r="94" spans="2:15">
      <c r="B94" s="46">
        <v>43495</v>
      </c>
      <c r="C94">
        <v>275.52920609584618</v>
      </c>
      <c r="D94">
        <v>10.45</v>
      </c>
      <c r="N94" s="46">
        <v>43495</v>
      </c>
      <c r="O94" t="s">
        <v>222</v>
      </c>
    </row>
    <row r="95" spans="2:15">
      <c r="B95" s="46">
        <v>43496</v>
      </c>
      <c r="C95">
        <v>278.61823752092261</v>
      </c>
      <c r="D95">
        <v>15.35</v>
      </c>
      <c r="N95" s="46">
        <v>43496</v>
      </c>
      <c r="O95" t="s">
        <v>223</v>
      </c>
    </row>
    <row r="96" spans="2:15">
      <c r="B96" s="46">
        <v>43497</v>
      </c>
      <c r="C96">
        <v>280.82781460264641</v>
      </c>
      <c r="D96">
        <v>18.350000000000001</v>
      </c>
      <c r="N96" s="46">
        <v>43497</v>
      </c>
      <c r="O96" t="s">
        <v>224</v>
      </c>
    </row>
    <row r="97" spans="2:15">
      <c r="B97" s="46">
        <v>43500</v>
      </c>
      <c r="C97">
        <v>277.13713637627444</v>
      </c>
      <c r="D97">
        <v>6.06</v>
      </c>
      <c r="N97" s="46">
        <v>43500</v>
      </c>
      <c r="O97" t="s">
        <v>225</v>
      </c>
    </row>
    <row r="98" spans="2:15">
      <c r="B98" s="46">
        <v>43501</v>
      </c>
      <c r="C98">
        <v>274.17906298067595</v>
      </c>
      <c r="D98">
        <v>9.83</v>
      </c>
      <c r="N98" s="46">
        <v>43501</v>
      </c>
      <c r="O98" t="s">
        <v>226</v>
      </c>
    </row>
    <row r="99" spans="2:15">
      <c r="B99" s="46">
        <v>43502</v>
      </c>
      <c r="C99">
        <v>277.6641813206096</v>
      </c>
      <c r="D99">
        <v>8.1</v>
      </c>
      <c r="N99" s="46">
        <v>43502</v>
      </c>
      <c r="O99" t="s">
        <v>187</v>
      </c>
    </row>
    <row r="100" spans="2:15">
      <c r="B100" s="46">
        <v>43503</v>
      </c>
      <c r="C100">
        <v>280.27365427649801</v>
      </c>
      <c r="D100">
        <v>5.95</v>
      </c>
      <c r="N100" s="46">
        <v>43503</v>
      </c>
      <c r="O100" t="s">
        <v>227</v>
      </c>
    </row>
    <row r="101" spans="2:15">
      <c r="B101" s="46">
        <v>43504</v>
      </c>
      <c r="C101">
        <v>275.54711855727328</v>
      </c>
      <c r="D101">
        <v>4.41</v>
      </c>
      <c r="N101" s="46">
        <v>43504</v>
      </c>
      <c r="O101" t="s">
        <v>228</v>
      </c>
    </row>
    <row r="102" spans="2:15">
      <c r="B102" s="46">
        <v>43507</v>
      </c>
      <c r="C102">
        <v>277.08392913211037</v>
      </c>
      <c r="D102">
        <v>9.9499999999999993</v>
      </c>
      <c r="N102" s="46">
        <v>43507</v>
      </c>
      <c r="O102" t="s">
        <v>229</v>
      </c>
    </row>
    <row r="103" spans="2:15">
      <c r="B103" s="46">
        <v>43508</v>
      </c>
      <c r="C103">
        <v>275.31789566321811</v>
      </c>
      <c r="D103">
        <v>7.34</v>
      </c>
      <c r="N103" s="46">
        <v>43508</v>
      </c>
      <c r="O103" t="s">
        <v>230</v>
      </c>
    </row>
    <row r="104" spans="2:15">
      <c r="B104" s="46">
        <v>43509</v>
      </c>
      <c r="C104">
        <v>276.83449726815297</v>
      </c>
      <c r="D104">
        <v>15.34</v>
      </c>
      <c r="N104" s="46">
        <v>43509</v>
      </c>
      <c r="O104" t="s">
        <v>231</v>
      </c>
    </row>
    <row r="105" spans="2:15">
      <c r="B105" s="46">
        <v>43510</v>
      </c>
      <c r="C105">
        <v>277.88944020127235</v>
      </c>
      <c r="D105">
        <v>9.99</v>
      </c>
      <c r="N105" s="46">
        <v>43510</v>
      </c>
      <c r="O105" t="s">
        <v>232</v>
      </c>
    </row>
    <row r="106" spans="2:15">
      <c r="B106" s="46">
        <v>43511</v>
      </c>
      <c r="C106">
        <v>280.07787384796603</v>
      </c>
      <c r="D106">
        <v>37.549999999999997</v>
      </c>
      <c r="N106" s="46">
        <v>43511</v>
      </c>
      <c r="O106" t="s">
        <v>233</v>
      </c>
    </row>
    <row r="107" spans="2:15">
      <c r="B107" s="46">
        <v>43514</v>
      </c>
      <c r="C107">
        <v>274.75302733427549</v>
      </c>
      <c r="D107">
        <v>40.67</v>
      </c>
      <c r="N107" s="46">
        <v>43514</v>
      </c>
      <c r="O107" t="s">
        <v>234</v>
      </c>
    </row>
    <row r="108" spans="2:15">
      <c r="B108" s="46">
        <v>43515</v>
      </c>
      <c r="C108">
        <v>275.88786093411892</v>
      </c>
      <c r="D108">
        <v>34.450000000000003</v>
      </c>
      <c r="N108" s="46">
        <v>43515</v>
      </c>
      <c r="O108" t="s">
        <v>235</v>
      </c>
    </row>
    <row r="109" spans="2:15">
      <c r="B109" s="46">
        <v>43516</v>
      </c>
      <c r="C109">
        <v>275.85055170110343</v>
      </c>
      <c r="D109">
        <v>5.98</v>
      </c>
      <c r="N109" s="46">
        <v>43516</v>
      </c>
      <c r="O109" t="s">
        <v>236</v>
      </c>
    </row>
    <row r="110" spans="2:15">
      <c r="B110" s="46">
        <v>43517</v>
      </c>
      <c r="C110">
        <v>275.05797668132374</v>
      </c>
      <c r="D110">
        <v>7</v>
      </c>
      <c r="N110" s="46">
        <v>43517</v>
      </c>
      <c r="O110" t="s">
        <v>221</v>
      </c>
    </row>
    <row r="111" spans="2:15">
      <c r="B111" s="46">
        <v>43518</v>
      </c>
      <c r="C111">
        <v>274.30740629997013</v>
      </c>
      <c r="D111">
        <v>8.76</v>
      </c>
      <c r="N111" s="46">
        <v>43518</v>
      </c>
      <c r="O111" t="s">
        <v>237</v>
      </c>
    </row>
    <row r="112" spans="2:15">
      <c r="B112" s="46">
        <v>43521</v>
      </c>
      <c r="C112">
        <v>276.67592919416012</v>
      </c>
      <c r="D112">
        <v>30.05</v>
      </c>
      <c r="N112" s="46">
        <v>43521</v>
      </c>
      <c r="O112" t="s">
        <v>238</v>
      </c>
    </row>
    <row r="113" spans="2:15">
      <c r="B113" s="46">
        <v>43522</v>
      </c>
      <c r="C113">
        <v>275.51184700942139</v>
      </c>
      <c r="D113">
        <v>11.78</v>
      </c>
      <c r="N113" s="46">
        <v>43522</v>
      </c>
      <c r="O113" t="s">
        <v>239</v>
      </c>
    </row>
    <row r="114" spans="2:15">
      <c r="B114" s="46">
        <v>43523</v>
      </c>
      <c r="C114">
        <v>275.10412656189845</v>
      </c>
      <c r="D114">
        <v>13.13</v>
      </c>
      <c r="N114" s="46">
        <v>43523</v>
      </c>
      <c r="O114" t="s">
        <v>194</v>
      </c>
    </row>
    <row r="115" spans="2:15">
      <c r="B115" s="46">
        <v>43524</v>
      </c>
      <c r="C115">
        <v>276.04033858814944</v>
      </c>
      <c r="D115">
        <v>43.21</v>
      </c>
      <c r="N115" s="46">
        <v>43524</v>
      </c>
      <c r="O115" t="s">
        <v>240</v>
      </c>
    </row>
    <row r="116" spans="2:15">
      <c r="B116" s="46">
        <v>43525</v>
      </c>
      <c r="C116">
        <v>278.17830209243675</v>
      </c>
      <c r="D116">
        <v>8.83</v>
      </c>
      <c r="N116" s="46">
        <v>43525</v>
      </c>
      <c r="O116" t="s">
        <v>193</v>
      </c>
    </row>
    <row r="117" spans="2:15">
      <c r="B117" s="46">
        <v>43529</v>
      </c>
      <c r="C117">
        <v>282.50592907506427</v>
      </c>
      <c r="D117">
        <v>13.58</v>
      </c>
      <c r="N117" s="46">
        <v>43529</v>
      </c>
      <c r="O117" t="s">
        <v>241</v>
      </c>
    </row>
    <row r="118" spans="2:15">
      <c r="B118" s="46">
        <v>43530</v>
      </c>
      <c r="C118">
        <v>285.71771389832946</v>
      </c>
      <c r="D118">
        <v>20.05</v>
      </c>
      <c r="N118" s="46">
        <v>43530</v>
      </c>
      <c r="O118" t="s">
        <v>242</v>
      </c>
    </row>
    <row r="119" spans="2:15">
      <c r="B119" s="46">
        <v>43531</v>
      </c>
      <c r="C119">
        <v>290.05591150145182</v>
      </c>
      <c r="D119">
        <v>14.29</v>
      </c>
      <c r="N119" s="46">
        <v>43531</v>
      </c>
      <c r="O119" t="s">
        <v>243</v>
      </c>
    </row>
    <row r="120" spans="2:15">
      <c r="B120" s="46">
        <v>43532</v>
      </c>
      <c r="C120">
        <v>291.9810212336198</v>
      </c>
      <c r="D120">
        <v>12.68</v>
      </c>
      <c r="N120" s="46">
        <v>43532</v>
      </c>
      <c r="O120" t="s">
        <v>244</v>
      </c>
    </row>
    <row r="121" spans="2:15">
      <c r="B121" s="46">
        <v>43535</v>
      </c>
      <c r="C121">
        <v>292.94033296901205</v>
      </c>
      <c r="D121">
        <v>14.72</v>
      </c>
      <c r="N121" s="46">
        <v>43535</v>
      </c>
      <c r="O121" t="s">
        <v>245</v>
      </c>
    </row>
    <row r="122" spans="2:15">
      <c r="B122" s="46">
        <v>43536</v>
      </c>
      <c r="C122">
        <v>294.48439232720665</v>
      </c>
      <c r="D122">
        <v>14.14</v>
      </c>
      <c r="N122" s="46">
        <v>43536</v>
      </c>
      <c r="O122" t="s">
        <v>246</v>
      </c>
    </row>
    <row r="123" spans="2:15">
      <c r="B123" s="46">
        <v>43537</v>
      </c>
      <c r="C123">
        <v>294.89587145779956</v>
      </c>
      <c r="D123">
        <v>11.07</v>
      </c>
      <c r="N123" s="46">
        <v>43537</v>
      </c>
      <c r="O123" t="s">
        <v>247</v>
      </c>
    </row>
    <row r="124" spans="2:15">
      <c r="B124" s="46">
        <v>43538</v>
      </c>
      <c r="C124">
        <v>295.49409011819768</v>
      </c>
      <c r="D124">
        <v>10.11</v>
      </c>
      <c r="N124" s="46">
        <v>43538</v>
      </c>
      <c r="O124" t="s">
        <v>248</v>
      </c>
    </row>
    <row r="125" spans="2:15">
      <c r="B125" s="46">
        <v>43539</v>
      </c>
      <c r="C125">
        <v>290.84624455288395</v>
      </c>
      <c r="D125">
        <v>21.4</v>
      </c>
      <c r="N125" s="46">
        <v>43539</v>
      </c>
      <c r="O125" t="s">
        <v>249</v>
      </c>
    </row>
    <row r="126" spans="2:15">
      <c r="B126" s="46">
        <v>43542</v>
      </c>
      <c r="C126">
        <v>293.72033424624118</v>
      </c>
      <c r="D126">
        <v>9.17</v>
      </c>
      <c r="N126" s="46">
        <v>43542</v>
      </c>
      <c r="O126" t="s">
        <v>250</v>
      </c>
    </row>
    <row r="127" spans="2:15">
      <c r="B127" s="46">
        <v>43543</v>
      </c>
      <c r="C127">
        <v>299.3919179679142</v>
      </c>
      <c r="D127">
        <v>15.76</v>
      </c>
      <c r="N127" s="46">
        <v>43543</v>
      </c>
      <c r="O127" t="s">
        <v>251</v>
      </c>
    </row>
    <row r="128" spans="2:15">
      <c r="B128" s="46">
        <v>43544</v>
      </c>
      <c r="C128">
        <v>298.90538029684529</v>
      </c>
      <c r="D128">
        <v>15.62</v>
      </c>
      <c r="N128" s="46">
        <v>43544</v>
      </c>
      <c r="O128" t="s">
        <v>252</v>
      </c>
    </row>
    <row r="129" spans="2:15">
      <c r="B129" s="46">
        <v>43546</v>
      </c>
      <c r="C129">
        <v>298.20685875775143</v>
      </c>
      <c r="D129">
        <v>8.07</v>
      </c>
      <c r="N129" s="46">
        <v>43546</v>
      </c>
      <c r="O129" t="s">
        <v>253</v>
      </c>
    </row>
    <row r="130" spans="2:15">
      <c r="B130" s="46">
        <v>43549</v>
      </c>
      <c r="C130">
        <v>295.08127861553328</v>
      </c>
      <c r="D130">
        <v>8.02</v>
      </c>
      <c r="N130" s="46">
        <v>43549</v>
      </c>
      <c r="O130" t="s">
        <v>254</v>
      </c>
    </row>
    <row r="131" spans="2:15">
      <c r="B131" s="46">
        <v>43550</v>
      </c>
      <c r="C131">
        <v>293.41643132015389</v>
      </c>
      <c r="D131">
        <v>10.76</v>
      </c>
      <c r="N131" s="46">
        <v>43550</v>
      </c>
      <c r="O131" t="s">
        <v>255</v>
      </c>
    </row>
    <row r="132" spans="2:15">
      <c r="B132" s="46">
        <v>43551</v>
      </c>
      <c r="C132">
        <v>293.1029310293103</v>
      </c>
      <c r="D132">
        <v>8.43</v>
      </c>
      <c r="N132" s="46">
        <v>43551</v>
      </c>
      <c r="O132" t="s">
        <v>256</v>
      </c>
    </row>
    <row r="133" spans="2:15">
      <c r="B133" s="46">
        <v>43552</v>
      </c>
      <c r="C133">
        <v>299.92951656360754</v>
      </c>
      <c r="D133">
        <v>17.75</v>
      </c>
      <c r="N133" s="46">
        <v>43552</v>
      </c>
      <c r="O133" t="s">
        <v>257</v>
      </c>
    </row>
    <row r="134" spans="2:15">
      <c r="B134" s="46">
        <v>43553</v>
      </c>
      <c r="C134">
        <v>297.27734951615548</v>
      </c>
      <c r="D134">
        <v>11.91</v>
      </c>
      <c r="N134" s="46">
        <v>43553</v>
      </c>
      <c r="O134" t="s">
        <v>258</v>
      </c>
    </row>
    <row r="135" spans="2:15">
      <c r="B135" s="46">
        <v>43556</v>
      </c>
      <c r="C135">
        <v>297.25</v>
      </c>
      <c r="D135">
        <v>6.2</v>
      </c>
      <c r="N135" s="46">
        <v>43556</v>
      </c>
      <c r="O135" t="s">
        <v>259</v>
      </c>
    </row>
    <row r="136" spans="2:15">
      <c r="B136" s="46">
        <v>43557</v>
      </c>
      <c r="C136">
        <v>297.8934463441804</v>
      </c>
      <c r="D136">
        <v>9.85</v>
      </c>
      <c r="N136" s="46">
        <v>43557</v>
      </c>
      <c r="O136" t="s">
        <v>260</v>
      </c>
    </row>
    <row r="137" spans="2:15">
      <c r="B137" s="46">
        <v>43558</v>
      </c>
      <c r="C137">
        <v>296.16747388095894</v>
      </c>
      <c r="D137">
        <v>9.06</v>
      </c>
      <c r="N137" s="46">
        <v>43558</v>
      </c>
      <c r="O137" t="s">
        <v>261</v>
      </c>
    </row>
    <row r="138" spans="2:15">
      <c r="B138" s="46">
        <v>43559</v>
      </c>
      <c r="C138">
        <v>294.81356142382549</v>
      </c>
      <c r="D138">
        <v>6.97</v>
      </c>
      <c r="N138" s="46">
        <v>43559</v>
      </c>
      <c r="O138" t="s">
        <v>262</v>
      </c>
    </row>
    <row r="139" spans="2:15">
      <c r="B139" s="46">
        <v>43560</v>
      </c>
      <c r="C139">
        <v>294.55235641885139</v>
      </c>
      <c r="D139">
        <v>7.81</v>
      </c>
      <c r="N139" s="46">
        <v>43560</v>
      </c>
      <c r="O139" t="s">
        <v>205</v>
      </c>
    </row>
    <row r="140" spans="2:15">
      <c r="B140" s="46">
        <v>43563</v>
      </c>
      <c r="C140">
        <v>292.76785883938919</v>
      </c>
      <c r="D140">
        <v>5.29</v>
      </c>
      <c r="N140" s="46">
        <v>43563</v>
      </c>
      <c r="O140" t="s">
        <v>263</v>
      </c>
    </row>
    <row r="141" spans="2:15">
      <c r="B141" s="46">
        <v>43564</v>
      </c>
      <c r="C141">
        <v>296.26415203760342</v>
      </c>
      <c r="D141">
        <v>6.18</v>
      </c>
      <c r="N141" s="46">
        <v>43564</v>
      </c>
      <c r="O141" t="s">
        <v>264</v>
      </c>
    </row>
    <row r="142" spans="2:15">
      <c r="B142" s="46">
        <v>43565</v>
      </c>
      <c r="C142">
        <v>294.71591465939161</v>
      </c>
      <c r="D142">
        <v>5.33</v>
      </c>
      <c r="N142" s="46">
        <v>43565</v>
      </c>
      <c r="O142" t="s">
        <v>265</v>
      </c>
    </row>
    <row r="143" spans="2:15">
      <c r="B143" s="46">
        <v>43566</v>
      </c>
      <c r="C143">
        <v>296.38280979703177</v>
      </c>
      <c r="D143">
        <v>10.76</v>
      </c>
      <c r="N143" s="46">
        <v>43566</v>
      </c>
      <c r="O143" t="s">
        <v>255</v>
      </c>
    </row>
    <row r="144" spans="2:15">
      <c r="B144" s="46">
        <v>43567</v>
      </c>
      <c r="C144">
        <v>305.65371907849027</v>
      </c>
      <c r="D144">
        <v>21.82</v>
      </c>
      <c r="N144" s="46">
        <v>43567</v>
      </c>
      <c r="O144" t="s">
        <v>266</v>
      </c>
    </row>
    <row r="145" spans="2:15">
      <c r="B145" s="46">
        <v>43570</v>
      </c>
      <c r="C145">
        <v>305.50244401955217</v>
      </c>
      <c r="D145">
        <v>12.61</v>
      </c>
      <c r="N145" s="46">
        <v>43570</v>
      </c>
      <c r="O145" t="s">
        <v>267</v>
      </c>
    </row>
    <row r="146" spans="2:15">
      <c r="B146" s="46">
        <v>43571</v>
      </c>
      <c r="C146">
        <v>307.1827977633252</v>
      </c>
      <c r="D146">
        <v>9.75</v>
      </c>
      <c r="N146" s="46">
        <v>43571</v>
      </c>
      <c r="O146" t="s">
        <v>268</v>
      </c>
    </row>
    <row r="147" spans="2:15">
      <c r="B147" s="46">
        <v>43573</v>
      </c>
      <c r="C147">
        <v>304.42770292096577</v>
      </c>
      <c r="D147">
        <v>8.84</v>
      </c>
      <c r="N147" s="46">
        <v>43573</v>
      </c>
      <c r="O147" t="s">
        <v>269</v>
      </c>
    </row>
    <row r="148" spans="2:15">
      <c r="B148" s="46">
        <v>43577</v>
      </c>
      <c r="C148">
        <v>301.82565518069038</v>
      </c>
      <c r="D148">
        <v>6.67</v>
      </c>
      <c r="N148" s="46">
        <v>43577</v>
      </c>
      <c r="O148" t="s">
        <v>270</v>
      </c>
    </row>
    <row r="149" spans="2:15">
      <c r="B149" s="46">
        <v>43578</v>
      </c>
      <c r="C149">
        <v>303.3839206522054</v>
      </c>
      <c r="D149">
        <v>7.5</v>
      </c>
      <c r="N149" s="46">
        <v>43578</v>
      </c>
      <c r="O149" t="s">
        <v>271</v>
      </c>
    </row>
    <row r="150" spans="2:15">
      <c r="B150" s="46">
        <v>43579</v>
      </c>
      <c r="C150">
        <v>306.41905167578074</v>
      </c>
      <c r="D150">
        <v>11.45</v>
      </c>
      <c r="N150" s="46">
        <v>43579</v>
      </c>
      <c r="O150" t="s">
        <v>185</v>
      </c>
    </row>
    <row r="151" spans="2:15">
      <c r="B151" s="46">
        <v>43580</v>
      </c>
      <c r="C151">
        <v>304.17281296097207</v>
      </c>
      <c r="D151">
        <v>23.24</v>
      </c>
      <c r="N151" s="46">
        <v>43580</v>
      </c>
      <c r="O151" t="s">
        <v>272</v>
      </c>
    </row>
    <row r="152" spans="2:15">
      <c r="B152" s="46">
        <v>43581</v>
      </c>
      <c r="C152">
        <v>304.5460409014683</v>
      </c>
      <c r="D152">
        <v>4.6500000000000004</v>
      </c>
      <c r="N152" s="46">
        <v>43581</v>
      </c>
      <c r="O152" t="s">
        <v>273</v>
      </c>
    </row>
    <row r="153" spans="2:15">
      <c r="B153" s="46">
        <v>43585</v>
      </c>
      <c r="C153">
        <v>301.38164507273268</v>
      </c>
      <c r="D153">
        <v>11.16</v>
      </c>
      <c r="N153" s="46">
        <v>43585</v>
      </c>
      <c r="O153" t="s">
        <v>274</v>
      </c>
    </row>
    <row r="154" spans="2:15">
      <c r="B154" s="46">
        <v>43587</v>
      </c>
      <c r="C154">
        <v>304.96309946496473</v>
      </c>
      <c r="D154">
        <v>7.49</v>
      </c>
      <c r="N154" s="46">
        <v>43587</v>
      </c>
      <c r="O154" t="s">
        <v>275</v>
      </c>
    </row>
    <row r="155" spans="2:15">
      <c r="B155" s="46">
        <v>43588</v>
      </c>
      <c r="C155">
        <v>304.257606440161</v>
      </c>
      <c r="D155">
        <v>5.89</v>
      </c>
      <c r="N155" s="46">
        <v>43588</v>
      </c>
      <c r="O155" t="s">
        <v>276</v>
      </c>
    </row>
    <row r="156" spans="2:15">
      <c r="B156" s="46">
        <v>43591</v>
      </c>
      <c r="C156">
        <v>306.97237248647622</v>
      </c>
      <c r="D156">
        <v>6.74</v>
      </c>
      <c r="N156" s="46">
        <v>43591</v>
      </c>
      <c r="O156" t="s">
        <v>277</v>
      </c>
    </row>
    <row r="157" spans="2:15">
      <c r="B157" s="46">
        <v>43592</v>
      </c>
      <c r="C157">
        <v>301.95012372053759</v>
      </c>
      <c r="D157">
        <v>8.66</v>
      </c>
      <c r="N157" s="46">
        <v>43592</v>
      </c>
      <c r="O157" t="s">
        <v>278</v>
      </c>
    </row>
    <row r="158" spans="2:15">
      <c r="B158" s="46">
        <v>43593</v>
      </c>
      <c r="C158">
        <v>300.66232715541332</v>
      </c>
      <c r="D158">
        <v>7.88</v>
      </c>
      <c r="N158" s="46">
        <v>43593</v>
      </c>
      <c r="O158" t="s">
        <v>279</v>
      </c>
    </row>
    <row r="159" spans="2:15">
      <c r="B159" s="46">
        <v>43594</v>
      </c>
      <c r="C159">
        <v>299.85809616859655</v>
      </c>
      <c r="D159">
        <v>10.220000000000001</v>
      </c>
      <c r="N159" s="46">
        <v>43594</v>
      </c>
      <c r="O159" t="s">
        <v>280</v>
      </c>
    </row>
    <row r="160" spans="2:15">
      <c r="B160" s="46">
        <v>43595</v>
      </c>
      <c r="C160">
        <v>297.77084395907713</v>
      </c>
      <c r="D160">
        <v>6.9</v>
      </c>
      <c r="N160" s="46">
        <v>43595</v>
      </c>
      <c r="O160" t="s">
        <v>281</v>
      </c>
    </row>
    <row r="161" spans="2:15">
      <c r="B161" s="46">
        <v>43598</v>
      </c>
      <c r="C161">
        <v>289.38218454040947</v>
      </c>
      <c r="D161">
        <v>35.880000000000003</v>
      </c>
      <c r="N161" s="46">
        <v>43598</v>
      </c>
      <c r="O161" t="s">
        <v>282</v>
      </c>
    </row>
    <row r="162" spans="2:15">
      <c r="B162" s="46">
        <v>43599</v>
      </c>
      <c r="C162">
        <v>294.29849776289149</v>
      </c>
      <c r="D162">
        <v>21.15</v>
      </c>
      <c r="N162" s="46">
        <v>43599</v>
      </c>
      <c r="O162" t="s">
        <v>283</v>
      </c>
    </row>
    <row r="163" spans="2:15">
      <c r="B163" s="46">
        <v>43600</v>
      </c>
      <c r="C163">
        <v>297.02267391399994</v>
      </c>
      <c r="D163">
        <v>17.89</v>
      </c>
      <c r="N163" s="46">
        <v>43600</v>
      </c>
      <c r="O163" t="s">
        <v>284</v>
      </c>
    </row>
    <row r="164" spans="2:15">
      <c r="B164" s="46">
        <v>43601</v>
      </c>
      <c r="C164">
        <v>294.77269749770733</v>
      </c>
      <c r="D164">
        <v>7.35</v>
      </c>
      <c r="N164" s="46">
        <v>43601</v>
      </c>
      <c r="O164" t="s">
        <v>285</v>
      </c>
    </row>
    <row r="165" spans="2:15">
      <c r="B165" s="46">
        <v>43602</v>
      </c>
      <c r="C165">
        <v>301.33189899082805</v>
      </c>
      <c r="D165">
        <v>11.19</v>
      </c>
      <c r="N165" s="46">
        <v>43602</v>
      </c>
      <c r="O165" t="s">
        <v>286</v>
      </c>
    </row>
    <row r="166" spans="2:15">
      <c r="B166" s="46">
        <v>43605</v>
      </c>
      <c r="C166">
        <v>306.94290861899685</v>
      </c>
      <c r="D166">
        <v>11.01</v>
      </c>
      <c r="N166" s="46">
        <v>43605</v>
      </c>
      <c r="O166" t="s">
        <v>287</v>
      </c>
    </row>
    <row r="167" spans="2:15">
      <c r="B167" s="46">
        <v>43606</v>
      </c>
      <c r="C167">
        <v>305.91101279646068</v>
      </c>
      <c r="D167">
        <v>10.52</v>
      </c>
      <c r="N167" s="46">
        <v>43606</v>
      </c>
      <c r="O167" t="s">
        <v>288</v>
      </c>
    </row>
    <row r="168" spans="2:15">
      <c r="B168" s="46">
        <v>43607</v>
      </c>
      <c r="C168">
        <v>299.81026186263438</v>
      </c>
      <c r="D168">
        <v>13.74</v>
      </c>
      <c r="N168" s="46">
        <v>43607</v>
      </c>
      <c r="O168" t="s">
        <v>289</v>
      </c>
    </row>
    <row r="169" spans="2:15">
      <c r="B169" s="46">
        <v>43608</v>
      </c>
      <c r="C169">
        <v>288.31099973489791</v>
      </c>
      <c r="D169">
        <v>31.38</v>
      </c>
      <c r="N169" s="46">
        <v>43608</v>
      </c>
      <c r="O169" t="s">
        <v>290</v>
      </c>
    </row>
    <row r="170" spans="2:15">
      <c r="B170" s="46">
        <v>43609</v>
      </c>
      <c r="C170">
        <v>290.42734666695998</v>
      </c>
      <c r="D170">
        <v>10.88</v>
      </c>
      <c r="N170" s="46">
        <v>43609</v>
      </c>
      <c r="O170" t="s">
        <v>291</v>
      </c>
    </row>
    <row r="171" spans="2:15">
      <c r="B171" s="46">
        <v>43612</v>
      </c>
      <c r="C171">
        <v>290.84592815700586</v>
      </c>
      <c r="D171">
        <v>9.02</v>
      </c>
      <c r="N171" s="46">
        <v>43612</v>
      </c>
      <c r="O171" t="s">
        <v>292</v>
      </c>
    </row>
    <row r="172" spans="2:15">
      <c r="B172" s="46">
        <v>43613</v>
      </c>
      <c r="C172">
        <v>288.919357596959</v>
      </c>
      <c r="D172">
        <v>15.6</v>
      </c>
      <c r="N172" s="46">
        <v>43613</v>
      </c>
      <c r="O172" t="s">
        <v>293</v>
      </c>
    </row>
    <row r="173" spans="2:15">
      <c r="B173" s="46">
        <v>43614</v>
      </c>
      <c r="C173">
        <v>288.10806702587678</v>
      </c>
      <c r="D173">
        <v>7.26</v>
      </c>
      <c r="N173" s="46">
        <v>43614</v>
      </c>
      <c r="O173" t="s">
        <v>294</v>
      </c>
    </row>
    <row r="174" spans="2:15">
      <c r="B174" s="46">
        <v>43615</v>
      </c>
      <c r="C174">
        <v>288.64451575420065</v>
      </c>
      <c r="D174">
        <v>8.66</v>
      </c>
      <c r="N174" s="46">
        <v>43615</v>
      </c>
      <c r="O174" t="s">
        <v>278</v>
      </c>
    </row>
    <row r="175" spans="2:15">
      <c r="B175" s="46">
        <v>43616</v>
      </c>
      <c r="C175">
        <v>278.64752663432199</v>
      </c>
      <c r="D175">
        <v>26.28</v>
      </c>
      <c r="N175" s="46">
        <v>43616</v>
      </c>
      <c r="O175" t="s">
        <v>295</v>
      </c>
    </row>
    <row r="176" spans="2:15">
      <c r="B176" s="46">
        <v>43619</v>
      </c>
      <c r="C176">
        <v>278.55</v>
      </c>
      <c r="D176">
        <v>19.57</v>
      </c>
      <c r="N176" s="46">
        <v>43619</v>
      </c>
      <c r="O176" t="s">
        <v>296</v>
      </c>
    </row>
    <row r="177" spans="2:15">
      <c r="B177" s="46">
        <v>43620</v>
      </c>
      <c r="C177">
        <v>279.24301892452689</v>
      </c>
      <c r="D177">
        <v>13.85</v>
      </c>
      <c r="N177" s="46">
        <v>43620</v>
      </c>
      <c r="O177" t="s">
        <v>297</v>
      </c>
    </row>
    <row r="178" spans="2:15">
      <c r="B178" s="46">
        <v>43622</v>
      </c>
      <c r="C178">
        <v>275.78447305913238</v>
      </c>
      <c r="D178">
        <v>10.66</v>
      </c>
      <c r="N178" s="46">
        <v>43622</v>
      </c>
      <c r="O178" t="s">
        <v>298</v>
      </c>
    </row>
    <row r="179" spans="2:15">
      <c r="B179" s="46">
        <v>43623</v>
      </c>
      <c r="C179">
        <v>275.2549545891826</v>
      </c>
      <c r="D179">
        <v>7.7</v>
      </c>
      <c r="N179" s="46">
        <v>43623</v>
      </c>
      <c r="O179" t="s">
        <v>299</v>
      </c>
    </row>
    <row r="180" spans="2:15">
      <c r="B180" s="46">
        <v>43626</v>
      </c>
      <c r="C180">
        <v>279.35781696963755</v>
      </c>
      <c r="D180">
        <v>8.6199999999999992</v>
      </c>
      <c r="N180" s="46">
        <v>43626</v>
      </c>
      <c r="O180" t="s">
        <v>300</v>
      </c>
    </row>
    <row r="181" spans="2:15">
      <c r="B181" s="46">
        <v>43627</v>
      </c>
      <c r="C181">
        <v>279.84552247164049</v>
      </c>
      <c r="D181">
        <v>8.4600000000000009</v>
      </c>
      <c r="N181" s="46">
        <v>43627</v>
      </c>
      <c r="O181" t="s">
        <v>301</v>
      </c>
    </row>
    <row r="182" spans="2:15">
      <c r="B182" s="46">
        <v>43628</v>
      </c>
      <c r="C182">
        <v>279.94888020447922</v>
      </c>
      <c r="D182">
        <v>8.25</v>
      </c>
      <c r="N182" s="46">
        <v>43628</v>
      </c>
      <c r="O182" t="s">
        <v>302</v>
      </c>
    </row>
    <row r="183" spans="2:15">
      <c r="B183" s="46">
        <v>43629</v>
      </c>
      <c r="C183">
        <v>280.59354634843396</v>
      </c>
      <c r="D183">
        <v>7.2</v>
      </c>
      <c r="N183" s="46">
        <v>43629</v>
      </c>
      <c r="O183" t="s">
        <v>303</v>
      </c>
    </row>
    <row r="184" spans="2:15">
      <c r="B184" s="46">
        <v>43630</v>
      </c>
      <c r="C184">
        <v>278.07530485274162</v>
      </c>
      <c r="D184">
        <v>7.91</v>
      </c>
      <c r="N184" s="46">
        <v>43630</v>
      </c>
      <c r="O184" t="s">
        <v>304</v>
      </c>
    </row>
    <row r="185" spans="2:15">
      <c r="B185" s="46">
        <v>43633</v>
      </c>
      <c r="C185">
        <v>275.03025332786609</v>
      </c>
      <c r="D185">
        <v>10.01</v>
      </c>
      <c r="N185" s="46">
        <v>43633</v>
      </c>
      <c r="O185" t="s">
        <v>305</v>
      </c>
    </row>
    <row r="186" spans="2:15">
      <c r="B186" s="46">
        <v>43634</v>
      </c>
      <c r="C186">
        <v>275.09889960440165</v>
      </c>
      <c r="D186">
        <v>13.85</v>
      </c>
      <c r="N186" s="46">
        <v>43634</v>
      </c>
      <c r="O186" t="s">
        <v>297</v>
      </c>
    </row>
    <row r="187" spans="2:15">
      <c r="B187" s="46">
        <v>43635</v>
      </c>
      <c r="C187">
        <v>277.1789344009855</v>
      </c>
      <c r="D187">
        <v>9.0500000000000007</v>
      </c>
      <c r="N187" s="46">
        <v>43635</v>
      </c>
      <c r="O187" t="s">
        <v>306</v>
      </c>
    </row>
    <row r="188" spans="2:15">
      <c r="B188" s="46">
        <v>43636</v>
      </c>
      <c r="C188">
        <v>277.00193901357306</v>
      </c>
      <c r="D188">
        <v>10.57</v>
      </c>
      <c r="N188" s="46">
        <v>43636</v>
      </c>
      <c r="O188" t="s">
        <v>307</v>
      </c>
    </row>
    <row r="189" spans="2:15">
      <c r="B189" s="46">
        <v>43637</v>
      </c>
      <c r="C189">
        <v>274.2771534381904</v>
      </c>
      <c r="D189">
        <v>18.600000000000001</v>
      </c>
      <c r="N189" s="46">
        <v>43637</v>
      </c>
      <c r="O189" t="s">
        <v>308</v>
      </c>
    </row>
    <row r="190" spans="2:15">
      <c r="B190" s="46">
        <v>43640</v>
      </c>
      <c r="C190">
        <v>276.22983522202878</v>
      </c>
      <c r="D190">
        <v>8.94</v>
      </c>
      <c r="N190" s="46">
        <v>43640</v>
      </c>
      <c r="O190" t="s">
        <v>309</v>
      </c>
    </row>
    <row r="191" spans="2:15">
      <c r="B191" s="46">
        <v>43641</v>
      </c>
      <c r="C191">
        <v>278.4774433270905</v>
      </c>
      <c r="D191">
        <v>12.38</v>
      </c>
      <c r="N191" s="46">
        <v>43641</v>
      </c>
      <c r="O191" t="s">
        <v>310</v>
      </c>
    </row>
    <row r="192" spans="2:15">
      <c r="B192" s="46">
        <v>43642</v>
      </c>
      <c r="C192">
        <v>277.41081902194185</v>
      </c>
      <c r="D192">
        <v>7.42</v>
      </c>
      <c r="N192" s="46">
        <v>43642</v>
      </c>
      <c r="O192" t="s">
        <v>311</v>
      </c>
    </row>
    <row r="193" spans="2:15">
      <c r="B193" s="46">
        <v>43643</v>
      </c>
      <c r="C193">
        <v>273.53856893822029</v>
      </c>
      <c r="D193">
        <v>23.31</v>
      </c>
      <c r="N193" s="46">
        <v>43643</v>
      </c>
      <c r="O193" t="s">
        <v>312</v>
      </c>
    </row>
    <row r="194" spans="2:15">
      <c r="B194" s="46">
        <v>43644</v>
      </c>
      <c r="C194">
        <v>273.84643999628008</v>
      </c>
      <c r="D194">
        <v>8.4499999999999993</v>
      </c>
      <c r="N194" s="46">
        <v>43644</v>
      </c>
      <c r="O194" t="s">
        <v>313</v>
      </c>
    </row>
    <row r="195" spans="2:15">
      <c r="B195" s="46">
        <v>43647</v>
      </c>
      <c r="C195">
        <v>274.93900243990237</v>
      </c>
      <c r="D195">
        <v>5.04</v>
      </c>
      <c r="N195" s="46">
        <v>43647</v>
      </c>
      <c r="O195" t="s">
        <v>314</v>
      </c>
    </row>
    <row r="196" spans="2:15">
      <c r="B196" s="46">
        <v>43648</v>
      </c>
      <c r="C196">
        <v>273.86095443817754</v>
      </c>
      <c r="D196">
        <v>9.98</v>
      </c>
      <c r="N196" s="46">
        <v>43648</v>
      </c>
      <c r="O196" t="s">
        <v>315</v>
      </c>
    </row>
    <row r="197" spans="2:15">
      <c r="B197" s="46">
        <v>43649</v>
      </c>
      <c r="C197">
        <v>276.67122619247596</v>
      </c>
      <c r="D197">
        <v>18.12</v>
      </c>
      <c r="N197" s="46">
        <v>43649</v>
      </c>
      <c r="O197" t="s">
        <v>316</v>
      </c>
    </row>
    <row r="198" spans="2:15">
      <c r="B198" s="46">
        <v>43650</v>
      </c>
      <c r="C198">
        <v>277.64056022095247</v>
      </c>
      <c r="D198">
        <v>9.6999999999999993</v>
      </c>
      <c r="N198" s="46">
        <v>43650</v>
      </c>
      <c r="O198" t="s">
        <v>317</v>
      </c>
    </row>
    <row r="199" spans="2:15">
      <c r="B199" s="46">
        <v>43651</v>
      </c>
      <c r="C199">
        <v>279.4318369305995</v>
      </c>
      <c r="D199">
        <v>37.049999999999997</v>
      </c>
      <c r="N199" s="46">
        <v>43651</v>
      </c>
      <c r="O199" t="s">
        <v>318</v>
      </c>
    </row>
    <row r="200" spans="2:15">
      <c r="B200" s="46">
        <v>43654</v>
      </c>
      <c r="C200">
        <v>277.46997783840436</v>
      </c>
      <c r="D200">
        <v>12.17</v>
      </c>
      <c r="N200" s="46">
        <v>43654</v>
      </c>
      <c r="O200" t="s">
        <v>319</v>
      </c>
    </row>
    <row r="201" spans="2:15">
      <c r="B201" s="46">
        <v>43655</v>
      </c>
      <c r="C201">
        <v>273.14288343269897</v>
      </c>
      <c r="D201">
        <v>7.71</v>
      </c>
      <c r="N201" s="46">
        <v>43655</v>
      </c>
      <c r="O201" t="s">
        <v>320</v>
      </c>
    </row>
    <row r="202" spans="2:15">
      <c r="B202" s="46">
        <v>43656</v>
      </c>
      <c r="C202">
        <v>273.14945370109257</v>
      </c>
      <c r="D202">
        <v>8.16</v>
      </c>
      <c r="N202" s="46">
        <v>43656</v>
      </c>
      <c r="O202" t="s">
        <v>321</v>
      </c>
    </row>
    <row r="203" spans="2:15">
      <c r="B203" s="46">
        <v>43657</v>
      </c>
      <c r="C203">
        <v>275.62464253288698</v>
      </c>
      <c r="D203">
        <v>8.4</v>
      </c>
      <c r="N203" s="46">
        <v>43657</v>
      </c>
      <c r="O203" t="s">
        <v>322</v>
      </c>
    </row>
    <row r="204" spans="2:15">
      <c r="B204" s="46">
        <v>43658</v>
      </c>
      <c r="C204">
        <v>275.05605123312711</v>
      </c>
      <c r="D204">
        <v>10.47</v>
      </c>
      <c r="N204" s="46">
        <v>43658</v>
      </c>
      <c r="O204" t="s">
        <v>323</v>
      </c>
    </row>
    <row r="205" spans="2:15">
      <c r="B205" s="46">
        <v>43661</v>
      </c>
      <c r="C205">
        <v>270.99037756625734</v>
      </c>
      <c r="D205">
        <v>8.5399999999999991</v>
      </c>
      <c r="N205" s="46">
        <v>43661</v>
      </c>
      <c r="O205" t="s">
        <v>197</v>
      </c>
    </row>
    <row r="206" spans="2:15">
      <c r="B206" s="46">
        <v>43662</v>
      </c>
      <c r="C206">
        <v>271.93993822228572</v>
      </c>
      <c r="D206">
        <v>6.36</v>
      </c>
      <c r="N206" s="46">
        <v>43662</v>
      </c>
      <c r="O206" t="s">
        <v>324</v>
      </c>
    </row>
    <row r="207" spans="2:15">
      <c r="B207" s="46">
        <v>43663</v>
      </c>
      <c r="C207">
        <v>272.89044883429079</v>
      </c>
      <c r="D207">
        <v>6.29</v>
      </c>
      <c r="N207" s="46">
        <v>43663</v>
      </c>
      <c r="O207" t="s">
        <v>325</v>
      </c>
    </row>
    <row r="208" spans="2:15">
      <c r="B208" s="46">
        <v>43664</v>
      </c>
      <c r="C208">
        <v>272.99890800436799</v>
      </c>
      <c r="D208">
        <v>9.1</v>
      </c>
      <c r="N208" s="46">
        <v>43664</v>
      </c>
      <c r="O208" t="s">
        <v>326</v>
      </c>
    </row>
    <row r="209" spans="2:15">
      <c r="B209" s="46">
        <v>43665</v>
      </c>
      <c r="C209">
        <v>268.34615553875267</v>
      </c>
      <c r="D209">
        <v>7.99</v>
      </c>
      <c r="N209" s="46">
        <v>43665</v>
      </c>
      <c r="O209" t="s">
        <v>327</v>
      </c>
    </row>
    <row r="210" spans="2:15">
      <c r="B210" s="46">
        <v>43668</v>
      </c>
      <c r="C210">
        <v>264.43834355981613</v>
      </c>
      <c r="D210">
        <v>13.52</v>
      </c>
      <c r="N210" s="46">
        <v>43668</v>
      </c>
      <c r="O210" t="s">
        <v>328</v>
      </c>
    </row>
    <row r="211" spans="2:15">
      <c r="B211" s="46">
        <v>43669</v>
      </c>
      <c r="C211">
        <v>270.58614167056572</v>
      </c>
      <c r="D211">
        <v>14.4</v>
      </c>
      <c r="N211" s="46">
        <v>43669</v>
      </c>
      <c r="O211" t="s">
        <v>329</v>
      </c>
    </row>
    <row r="212" spans="2:15">
      <c r="B212" s="46">
        <v>43670</v>
      </c>
      <c r="C212">
        <v>270.84810406327153</v>
      </c>
      <c r="D212">
        <v>12.07</v>
      </c>
      <c r="N212" s="46">
        <v>43670</v>
      </c>
      <c r="O212" t="s">
        <v>330</v>
      </c>
    </row>
    <row r="213" spans="2:15">
      <c r="B213" s="46">
        <v>43671</v>
      </c>
      <c r="C213">
        <v>267.87973465054625</v>
      </c>
      <c r="D213">
        <v>17.670000000000002</v>
      </c>
      <c r="N213" s="46">
        <v>43671</v>
      </c>
      <c r="O213" t="s">
        <v>331</v>
      </c>
    </row>
    <row r="214" spans="2:15">
      <c r="B214" s="46">
        <v>43672</v>
      </c>
      <c r="C214">
        <v>270.37431444012816</v>
      </c>
      <c r="D214">
        <v>4.79</v>
      </c>
      <c r="N214" s="46">
        <v>43672</v>
      </c>
      <c r="O214" t="s">
        <v>332</v>
      </c>
    </row>
    <row r="215" spans="2:15">
      <c r="B215" s="46">
        <v>43675</v>
      </c>
      <c r="C215">
        <v>267.77624207172306</v>
      </c>
      <c r="D215">
        <v>5.53</v>
      </c>
      <c r="N215" s="46">
        <v>43675</v>
      </c>
      <c r="O215" t="s">
        <v>333</v>
      </c>
    </row>
    <row r="216" spans="2:15">
      <c r="B216" s="46">
        <v>43676</v>
      </c>
      <c r="C216">
        <v>268.88843779717467</v>
      </c>
      <c r="D216">
        <v>13.23</v>
      </c>
      <c r="N216" s="46">
        <v>43676</v>
      </c>
      <c r="O216" t="s">
        <v>334</v>
      </c>
    </row>
    <row r="217" spans="2:15">
      <c r="B217" s="46">
        <v>43677</v>
      </c>
      <c r="C217">
        <v>270.18703102251089</v>
      </c>
      <c r="D217">
        <v>13.65</v>
      </c>
      <c r="N217" s="46">
        <v>43677</v>
      </c>
      <c r="O217" t="s">
        <v>335</v>
      </c>
    </row>
    <row r="218" spans="2:15">
      <c r="B218" s="46">
        <v>43678</v>
      </c>
      <c r="C218">
        <v>267.57622246980208</v>
      </c>
      <c r="D218">
        <v>5.93</v>
      </c>
      <c r="N218" s="46">
        <v>43678</v>
      </c>
      <c r="O218" t="s">
        <v>336</v>
      </c>
    </row>
    <row r="219" spans="2:15">
      <c r="B219" s="46">
        <v>43679</v>
      </c>
      <c r="C219">
        <v>264.53015643783391</v>
      </c>
      <c r="D219">
        <v>8.89</v>
      </c>
      <c r="N219" s="46">
        <v>43679</v>
      </c>
      <c r="O219" t="s">
        <v>337</v>
      </c>
    </row>
    <row r="220" spans="2:15">
      <c r="B220" s="46">
        <v>43682</v>
      </c>
      <c r="C220">
        <v>259.84625263296869</v>
      </c>
      <c r="D220">
        <v>11.56</v>
      </c>
      <c r="N220" s="46">
        <v>43682</v>
      </c>
      <c r="O220" t="s">
        <v>338</v>
      </c>
    </row>
    <row r="221" spans="2:15">
      <c r="B221" s="46">
        <v>43683</v>
      </c>
      <c r="C221">
        <v>258.9090618171636</v>
      </c>
      <c r="D221">
        <v>9.41</v>
      </c>
      <c r="N221" s="46">
        <v>43683</v>
      </c>
      <c r="O221" t="s">
        <v>339</v>
      </c>
    </row>
    <row r="222" spans="2:15">
      <c r="B222" s="46">
        <v>43684</v>
      </c>
      <c r="C222">
        <v>253.70150140478518</v>
      </c>
      <c r="D222">
        <v>8.49</v>
      </c>
      <c r="N222" s="46">
        <v>43684</v>
      </c>
      <c r="O222" t="s">
        <v>198</v>
      </c>
    </row>
    <row r="223" spans="2:15">
      <c r="B223" s="46">
        <v>43685</v>
      </c>
      <c r="C223">
        <v>257.70825126329532</v>
      </c>
      <c r="D223">
        <v>6.37</v>
      </c>
      <c r="N223" s="46">
        <v>43685</v>
      </c>
      <c r="O223" t="s">
        <v>340</v>
      </c>
    </row>
    <row r="224" spans="2:15">
      <c r="B224" s="46">
        <v>43686</v>
      </c>
      <c r="C224">
        <v>254.23508444165293</v>
      </c>
      <c r="D224">
        <v>9.93</v>
      </c>
      <c r="N224" s="46">
        <v>43686</v>
      </c>
      <c r="O224" t="s">
        <v>203</v>
      </c>
    </row>
    <row r="225" spans="2:15">
      <c r="B225" s="46">
        <v>43690</v>
      </c>
      <c r="C225">
        <v>246.37662312979336</v>
      </c>
      <c r="D225">
        <v>20.99</v>
      </c>
      <c r="N225" s="46">
        <v>43690</v>
      </c>
      <c r="O225" t="s">
        <v>341</v>
      </c>
    </row>
    <row r="226" spans="2:15">
      <c r="B226" s="46">
        <v>43691</v>
      </c>
      <c r="C226">
        <v>248.7253761877574</v>
      </c>
      <c r="D226">
        <v>13.81</v>
      </c>
      <c r="N226" s="46">
        <v>43691</v>
      </c>
      <c r="O226" t="s">
        <v>342</v>
      </c>
    </row>
    <row r="227" spans="2:15">
      <c r="B227" s="46">
        <v>43693</v>
      </c>
      <c r="C227">
        <v>252.95674439670819</v>
      </c>
      <c r="D227">
        <v>10.34</v>
      </c>
      <c r="N227" s="46">
        <v>43693</v>
      </c>
      <c r="O227" t="s">
        <v>343</v>
      </c>
    </row>
    <row r="228" spans="2:15">
      <c r="B228" s="46">
        <v>43696</v>
      </c>
      <c r="C228">
        <v>251.56433916733255</v>
      </c>
      <c r="D228">
        <v>12.52</v>
      </c>
      <c r="N228" s="46">
        <v>43696</v>
      </c>
      <c r="O228" t="s">
        <v>344</v>
      </c>
    </row>
    <row r="229" spans="2:15">
      <c r="B229" s="46">
        <v>43697</v>
      </c>
      <c r="C229">
        <v>246.54955646084863</v>
      </c>
      <c r="D229">
        <v>15</v>
      </c>
      <c r="N229" s="46">
        <v>43697</v>
      </c>
      <c r="O229" t="s">
        <v>345</v>
      </c>
    </row>
    <row r="230" spans="2:15">
      <c r="B230" s="46">
        <v>43698</v>
      </c>
      <c r="C230">
        <v>241.49950739901678</v>
      </c>
      <c r="D230">
        <v>14.74</v>
      </c>
      <c r="N230" s="46">
        <v>43698</v>
      </c>
      <c r="O230" t="s">
        <v>346</v>
      </c>
    </row>
    <row r="231" spans="2:15">
      <c r="B231" s="46">
        <v>43699</v>
      </c>
      <c r="C231">
        <v>240.06392370757504</v>
      </c>
      <c r="D231">
        <v>10.51</v>
      </c>
      <c r="N231" s="46">
        <v>43699</v>
      </c>
      <c r="O231" t="s">
        <v>347</v>
      </c>
    </row>
    <row r="232" spans="2:15">
      <c r="B232" s="46">
        <v>43700</v>
      </c>
      <c r="C232">
        <v>236.13896292888325</v>
      </c>
      <c r="D232">
        <v>16.440000000000001</v>
      </c>
      <c r="N232" s="46">
        <v>43700</v>
      </c>
      <c r="O232" t="s">
        <v>348</v>
      </c>
    </row>
    <row r="233" spans="2:15">
      <c r="B233" s="46">
        <v>43703</v>
      </c>
      <c r="C233">
        <v>242.43430030461747</v>
      </c>
      <c r="D233">
        <v>12.86</v>
      </c>
      <c r="N233" s="46">
        <v>43703</v>
      </c>
      <c r="O233" t="s">
        <v>349</v>
      </c>
    </row>
    <row r="234" spans="2:15">
      <c r="B234" s="46">
        <v>43704</v>
      </c>
      <c r="C234">
        <v>245.46956177433998</v>
      </c>
      <c r="D234">
        <v>14.53</v>
      </c>
      <c r="N234" s="46">
        <v>43704</v>
      </c>
      <c r="O234" t="s">
        <v>350</v>
      </c>
    </row>
    <row r="235" spans="2:15">
      <c r="B235" s="46">
        <v>43705</v>
      </c>
      <c r="C235">
        <v>245.94557297968635</v>
      </c>
      <c r="D235">
        <v>8.89</v>
      </c>
      <c r="N235" s="46">
        <v>43705</v>
      </c>
      <c r="O235" t="s">
        <v>337</v>
      </c>
    </row>
    <row r="236" spans="2:15">
      <c r="B236" s="46">
        <v>43706</v>
      </c>
      <c r="C236">
        <v>241.24656058619311</v>
      </c>
      <c r="D236">
        <v>11.11</v>
      </c>
      <c r="N236" s="46">
        <v>43706</v>
      </c>
      <c r="O236" t="s">
        <v>351</v>
      </c>
    </row>
    <row r="237" spans="2:15">
      <c r="B237" s="46">
        <v>43707</v>
      </c>
      <c r="C237">
        <v>245.60480871519641</v>
      </c>
      <c r="D237">
        <v>11.77</v>
      </c>
      <c r="N237" s="46">
        <v>43707</v>
      </c>
      <c r="O237" t="s">
        <v>352</v>
      </c>
    </row>
    <row r="238" spans="2:15">
      <c r="B238" s="46">
        <v>43711</v>
      </c>
      <c r="C238">
        <v>241.59034558771316</v>
      </c>
      <c r="D238">
        <v>9.5500000000000007</v>
      </c>
      <c r="N238" s="46">
        <v>43711</v>
      </c>
      <c r="O238" t="s">
        <v>353</v>
      </c>
    </row>
    <row r="239" spans="2:15">
      <c r="B239" s="46">
        <v>43712</v>
      </c>
      <c r="C239">
        <v>243.23297369184158</v>
      </c>
      <c r="D239">
        <v>7.03</v>
      </c>
      <c r="N239" s="46">
        <v>43712</v>
      </c>
      <c r="O239" t="s">
        <v>354</v>
      </c>
    </row>
    <row r="240" spans="2:15">
      <c r="B240" s="46">
        <v>43713</v>
      </c>
      <c r="C240">
        <v>244.23998616056744</v>
      </c>
      <c r="D240">
        <v>8.4499999999999993</v>
      </c>
      <c r="N240" s="46">
        <v>43713</v>
      </c>
      <c r="O240" t="s">
        <v>313</v>
      </c>
    </row>
    <row r="241" spans="2:15">
      <c r="B241" s="46">
        <v>43714</v>
      </c>
      <c r="C241">
        <v>243.90341464780508</v>
      </c>
      <c r="D241">
        <v>8.6999999999999993</v>
      </c>
      <c r="N241" s="46">
        <v>43714</v>
      </c>
      <c r="O241" t="s">
        <v>355</v>
      </c>
    </row>
    <row r="242" spans="2:15">
      <c r="B242" s="46">
        <v>43717</v>
      </c>
      <c r="C242">
        <v>245.48379806932746</v>
      </c>
      <c r="D242">
        <v>9.09</v>
      </c>
      <c r="N242" s="46">
        <v>43717</v>
      </c>
      <c r="O242" t="s">
        <v>356</v>
      </c>
    </row>
    <row r="243" spans="2:15">
      <c r="B243" s="46">
        <v>43719</v>
      </c>
      <c r="C243">
        <v>243.76730747883101</v>
      </c>
      <c r="D243">
        <v>8.9700000000000006</v>
      </c>
      <c r="N243" s="46">
        <v>43719</v>
      </c>
      <c r="O243" t="s">
        <v>357</v>
      </c>
    </row>
    <row r="244" spans="2:15">
      <c r="B244" s="46">
        <v>43720</v>
      </c>
      <c r="C244">
        <v>240.7796158927548</v>
      </c>
      <c r="D244">
        <v>8.08</v>
      </c>
      <c r="N244" s="46">
        <v>43720</v>
      </c>
      <c r="O244" t="s">
        <v>358</v>
      </c>
    </row>
    <row r="245" spans="2:15">
      <c r="B245" s="46">
        <v>43721</v>
      </c>
      <c r="C245">
        <v>239.90839679388779</v>
      </c>
      <c r="D245">
        <v>14.03</v>
      </c>
      <c r="N245" s="46">
        <v>43721</v>
      </c>
      <c r="O245" t="s">
        <v>359</v>
      </c>
    </row>
    <row r="246" spans="2:15">
      <c r="B246" s="46">
        <v>43724</v>
      </c>
      <c r="C246">
        <v>239.40502750557764</v>
      </c>
      <c r="D246">
        <v>7.08</v>
      </c>
      <c r="N246" s="46">
        <v>43724</v>
      </c>
      <c r="O246" t="s">
        <v>360</v>
      </c>
    </row>
    <row r="247" spans="2:15">
      <c r="B247" s="46">
        <v>43725</v>
      </c>
      <c r="C247">
        <v>237.2218244078455</v>
      </c>
      <c r="D247">
        <v>10.67</v>
      </c>
      <c r="N247" s="46">
        <v>43725</v>
      </c>
      <c r="O247" t="s">
        <v>361</v>
      </c>
    </row>
    <row r="248" spans="2:15">
      <c r="B248" s="46">
        <v>43726</v>
      </c>
      <c r="C248">
        <v>239.22942626934082</v>
      </c>
      <c r="D248">
        <v>19.96</v>
      </c>
      <c r="N248" s="46">
        <v>43726</v>
      </c>
      <c r="O248" t="s">
        <v>362</v>
      </c>
    </row>
    <row r="249" spans="2:15">
      <c r="B249" s="46">
        <v>43727</v>
      </c>
      <c r="C249">
        <v>236.72532961026829</v>
      </c>
      <c r="D249">
        <v>8.48</v>
      </c>
      <c r="N249" s="46">
        <v>43727</v>
      </c>
      <c r="O249" t="s">
        <v>363</v>
      </c>
    </row>
    <row r="250" spans="2:15">
      <c r="B250" s="46">
        <v>43728</v>
      </c>
      <c r="C250">
        <v>238.03643192338038</v>
      </c>
      <c r="D250">
        <v>63.57</v>
      </c>
      <c r="N250" s="46">
        <v>43728</v>
      </c>
      <c r="O250" t="s">
        <v>364</v>
      </c>
    </row>
    <row r="251" spans="2:15">
      <c r="B251" s="46">
        <v>43731</v>
      </c>
      <c r="C251">
        <v>254.67020283679719</v>
      </c>
      <c r="D251">
        <v>52.04</v>
      </c>
      <c r="N251" s="46">
        <v>43731</v>
      </c>
      <c r="O251" t="s">
        <v>365</v>
      </c>
    </row>
    <row r="252" spans="2:15">
      <c r="B252" s="46">
        <v>43732</v>
      </c>
      <c r="C252">
        <v>255.98848051837666</v>
      </c>
      <c r="D252">
        <v>17.170000000000002</v>
      </c>
      <c r="N252" s="46">
        <v>43732</v>
      </c>
      <c r="O252" t="s">
        <v>366</v>
      </c>
    </row>
    <row r="253" spans="2:15">
      <c r="B253" s="46">
        <v>43733</v>
      </c>
      <c r="C253">
        <v>247.63171846709417</v>
      </c>
      <c r="D253">
        <v>20.6</v>
      </c>
      <c r="N253" s="46">
        <v>43733</v>
      </c>
      <c r="O253" t="s">
        <v>367</v>
      </c>
    </row>
    <row r="254" spans="2:15">
      <c r="B254" s="46">
        <v>43734</v>
      </c>
      <c r="C254">
        <v>250.3712073111592</v>
      </c>
      <c r="D254">
        <v>17.850000000000001</v>
      </c>
      <c r="N254" s="46">
        <v>43734</v>
      </c>
      <c r="O254" t="s">
        <v>368</v>
      </c>
    </row>
    <row r="255" spans="2:15">
      <c r="B255" s="46">
        <v>43735</v>
      </c>
      <c r="C255">
        <v>252.92420173142338</v>
      </c>
      <c r="D255">
        <v>17.54</v>
      </c>
      <c r="N255" s="46">
        <v>43735</v>
      </c>
      <c r="O255" t="s">
        <v>369</v>
      </c>
    </row>
    <row r="256" spans="2:15">
      <c r="B256" s="46">
        <v>43738</v>
      </c>
      <c r="C256">
        <v>259.77908031107512</v>
      </c>
      <c r="D256">
        <v>20.59</v>
      </c>
      <c r="N256" s="46">
        <v>43738</v>
      </c>
      <c r="O256" t="s">
        <v>370</v>
      </c>
    </row>
    <row r="257" spans="2:15">
      <c r="B257" s="46">
        <v>43739</v>
      </c>
      <c r="C257">
        <v>255.93890271321243</v>
      </c>
      <c r="D257">
        <v>15.44</v>
      </c>
      <c r="N257" s="46">
        <v>43739</v>
      </c>
      <c r="O257" t="s">
        <v>371</v>
      </c>
    </row>
    <row r="258" spans="2:15">
      <c r="B258" s="46">
        <v>43741</v>
      </c>
      <c r="C258">
        <v>261.59114199305156</v>
      </c>
      <c r="D258">
        <v>12.36</v>
      </c>
      <c r="N258" s="46">
        <v>43741</v>
      </c>
      <c r="O258" t="s">
        <v>372</v>
      </c>
    </row>
    <row r="259" spans="2:15">
      <c r="B259" s="46">
        <v>43742</v>
      </c>
      <c r="C259">
        <v>257.29322526184399</v>
      </c>
      <c r="D259">
        <v>18.09</v>
      </c>
      <c r="N259" s="46">
        <v>43742</v>
      </c>
      <c r="O259" t="s">
        <v>373</v>
      </c>
    </row>
    <row r="260" spans="2:15">
      <c r="B260" s="46">
        <v>43745</v>
      </c>
      <c r="C260">
        <v>251.95240610046889</v>
      </c>
      <c r="D260">
        <v>21.26</v>
      </c>
      <c r="N260" s="46">
        <v>43745</v>
      </c>
      <c r="O260" t="s">
        <v>374</v>
      </c>
    </row>
    <row r="261" spans="2:15">
      <c r="B261" s="46">
        <v>43747</v>
      </c>
      <c r="C261">
        <v>247.14720511617719</v>
      </c>
      <c r="D261">
        <v>21.5</v>
      </c>
      <c r="N261" s="46">
        <v>43747</v>
      </c>
      <c r="O261" t="s">
        <v>375</v>
      </c>
    </row>
    <row r="262" spans="2:15">
      <c r="B262" s="46">
        <v>43748</v>
      </c>
      <c r="C262">
        <v>243.2384316722042</v>
      </c>
      <c r="D262">
        <v>24.29</v>
      </c>
      <c r="N262" s="46">
        <v>43748</v>
      </c>
      <c r="O262" t="s">
        <v>376</v>
      </c>
    </row>
    <row r="263" spans="2:15">
      <c r="B263" s="46">
        <v>43749</v>
      </c>
      <c r="C263">
        <v>243.94243778442871</v>
      </c>
      <c r="D263">
        <v>25.07</v>
      </c>
      <c r="N263" s="46">
        <v>43749</v>
      </c>
      <c r="O263" t="s">
        <v>377</v>
      </c>
    </row>
    <row r="264" spans="2:15">
      <c r="B264" s="46">
        <v>43752</v>
      </c>
      <c r="C264">
        <v>244.09853540878754</v>
      </c>
      <c r="D264">
        <v>14.71</v>
      </c>
      <c r="N264" s="46">
        <v>43752</v>
      </c>
      <c r="O264" t="s">
        <v>378</v>
      </c>
    </row>
    <row r="265" spans="2:15">
      <c r="B265" s="46">
        <v>43753</v>
      </c>
      <c r="C265">
        <v>247.56459826244847</v>
      </c>
      <c r="D265">
        <v>9.99</v>
      </c>
      <c r="N265" s="46">
        <v>43753</v>
      </c>
      <c r="O265" t="s">
        <v>232</v>
      </c>
    </row>
    <row r="266" spans="2:15">
      <c r="B266" s="46">
        <v>43754</v>
      </c>
      <c r="C266">
        <v>243.68899023843818</v>
      </c>
      <c r="D266">
        <v>16.059999999999999</v>
      </c>
      <c r="N266" s="46">
        <v>43754</v>
      </c>
      <c r="O266" t="s">
        <v>379</v>
      </c>
    </row>
    <row r="267" spans="2:15">
      <c r="B267" s="46">
        <v>43755</v>
      </c>
      <c r="C267">
        <v>245.82787549120582</v>
      </c>
      <c r="D267">
        <v>13.65</v>
      </c>
      <c r="N267" s="46">
        <v>43755</v>
      </c>
      <c r="O267" t="s">
        <v>335</v>
      </c>
    </row>
    <row r="268" spans="2:15">
      <c r="B268" s="46">
        <v>43756</v>
      </c>
      <c r="C268">
        <v>246.49359116662964</v>
      </c>
      <c r="D268">
        <v>12.83</v>
      </c>
      <c r="N268" s="46">
        <v>43756</v>
      </c>
      <c r="O268" t="s">
        <v>380</v>
      </c>
    </row>
    <row r="269" spans="2:15">
      <c r="B269" s="46">
        <v>43760</v>
      </c>
      <c r="C269">
        <v>248.87585904167295</v>
      </c>
      <c r="D269">
        <v>18.28</v>
      </c>
      <c r="N269" s="46">
        <v>43760</v>
      </c>
      <c r="O269" t="s">
        <v>381</v>
      </c>
    </row>
    <row r="270" spans="2:15">
      <c r="B270" s="46">
        <v>43761</v>
      </c>
      <c r="C270">
        <v>251.02841155660613</v>
      </c>
      <c r="D270">
        <v>12.83</v>
      </c>
      <c r="N270" s="46">
        <v>43761</v>
      </c>
      <c r="O270" t="s">
        <v>380</v>
      </c>
    </row>
    <row r="271" spans="2:15">
      <c r="B271" s="46">
        <v>43762</v>
      </c>
      <c r="C271">
        <v>249.06992559404753</v>
      </c>
      <c r="D271">
        <v>16.79</v>
      </c>
      <c r="N271" s="46">
        <v>43762</v>
      </c>
      <c r="O271" t="s">
        <v>382</v>
      </c>
    </row>
    <row r="272" spans="2:15">
      <c r="B272" s="46">
        <v>43763</v>
      </c>
      <c r="C272">
        <v>247.7133765223322</v>
      </c>
      <c r="D272">
        <v>32.590000000000003</v>
      </c>
      <c r="N272" s="46">
        <v>43763</v>
      </c>
      <c r="O272" t="s">
        <v>383</v>
      </c>
    </row>
    <row r="273" spans="2:15">
      <c r="B273" s="46">
        <v>43765</v>
      </c>
      <c r="C273">
        <v>250.37270937467818</v>
      </c>
      <c r="D273">
        <v>3.13</v>
      </c>
      <c r="N273" s="46">
        <v>43765</v>
      </c>
      <c r="O273" t="s">
        <v>384</v>
      </c>
    </row>
    <row r="274" spans="2:15">
      <c r="B274" s="46">
        <v>43767</v>
      </c>
      <c r="C274">
        <v>253.22113279086184</v>
      </c>
      <c r="D274">
        <v>11.94</v>
      </c>
      <c r="N274" s="46">
        <v>43767</v>
      </c>
      <c r="O274" t="s">
        <v>385</v>
      </c>
    </row>
    <row r="275" spans="2:15">
      <c r="B275" s="46">
        <v>43768</v>
      </c>
      <c r="C275">
        <v>259.33698111358939</v>
      </c>
      <c r="D275">
        <v>34.29</v>
      </c>
      <c r="N275" s="46">
        <v>43768</v>
      </c>
      <c r="O275" t="s">
        <v>386</v>
      </c>
    </row>
    <row r="276" spans="2:15">
      <c r="B276" s="46">
        <v>43769</v>
      </c>
      <c r="C276">
        <v>257.66726370666834</v>
      </c>
      <c r="D276">
        <v>16.649999999999999</v>
      </c>
      <c r="N276" s="46">
        <v>43769</v>
      </c>
      <c r="O276" t="s">
        <v>387</v>
      </c>
    </row>
    <row r="277" spans="2:15">
      <c r="B277" s="46">
        <v>43770</v>
      </c>
      <c r="C277">
        <v>261.26290066810509</v>
      </c>
      <c r="D277">
        <v>12.57</v>
      </c>
      <c r="N277" s="46">
        <v>43770</v>
      </c>
      <c r="O277" t="s">
        <v>388</v>
      </c>
    </row>
    <row r="278" spans="2:15">
      <c r="B278" s="46">
        <v>43773</v>
      </c>
      <c r="C278">
        <v>260.75547586499317</v>
      </c>
      <c r="D278">
        <v>7.9</v>
      </c>
      <c r="N278" s="46">
        <v>43773</v>
      </c>
      <c r="O278" t="s">
        <v>389</v>
      </c>
    </row>
    <row r="279" spans="2:15">
      <c r="B279" s="46">
        <v>43774</v>
      </c>
      <c r="C279">
        <v>262.87844396759465</v>
      </c>
      <c r="D279">
        <v>10.28</v>
      </c>
      <c r="N279" s="46">
        <v>43774</v>
      </c>
      <c r="O279" t="s">
        <v>390</v>
      </c>
    </row>
    <row r="280" spans="2:15">
      <c r="B280" s="46">
        <v>43775</v>
      </c>
      <c r="C280">
        <v>261.36542055981306</v>
      </c>
      <c r="D280">
        <v>8.86</v>
      </c>
      <c r="N280" s="46">
        <v>43775</v>
      </c>
      <c r="O280" t="s">
        <v>180</v>
      </c>
    </row>
    <row r="281" spans="2:15">
      <c r="B281" s="46">
        <v>43776</v>
      </c>
      <c r="C281">
        <v>265.80428166355387</v>
      </c>
      <c r="D281">
        <v>14.78</v>
      </c>
      <c r="N281" s="46">
        <v>43776</v>
      </c>
      <c r="O281" t="s">
        <v>391</v>
      </c>
    </row>
    <row r="282" spans="2:15">
      <c r="B282" s="46">
        <v>43777</v>
      </c>
      <c r="C282">
        <v>260.55237102657634</v>
      </c>
      <c r="D282">
        <v>11.9</v>
      </c>
      <c r="N282" s="46">
        <v>43777</v>
      </c>
      <c r="O282" t="s">
        <v>392</v>
      </c>
    </row>
    <row r="283" spans="2:15">
      <c r="B283" s="46">
        <v>43780</v>
      </c>
      <c r="C283">
        <v>259.46037841513663</v>
      </c>
      <c r="D283">
        <v>7.25</v>
      </c>
      <c r="N283" s="46">
        <v>43780</v>
      </c>
      <c r="O283" t="s">
        <v>393</v>
      </c>
    </row>
    <row r="284" spans="2:15">
      <c r="B284" s="46">
        <v>43782</v>
      </c>
      <c r="C284">
        <v>253.90484344618437</v>
      </c>
      <c r="D284">
        <v>10.27</v>
      </c>
      <c r="N284" s="46">
        <v>43782</v>
      </c>
      <c r="O284" t="s">
        <v>394</v>
      </c>
    </row>
    <row r="285" spans="2:15">
      <c r="B285" s="46">
        <v>43783</v>
      </c>
      <c r="C285">
        <v>253.89949220101559</v>
      </c>
      <c r="D285">
        <v>8.8800000000000008</v>
      </c>
      <c r="N285" s="46">
        <v>43783</v>
      </c>
      <c r="O285" t="s">
        <v>395</v>
      </c>
    </row>
    <row r="286" spans="2:15">
      <c r="B286" s="46">
        <v>43784</v>
      </c>
      <c r="C286">
        <v>250.68208730717532</v>
      </c>
      <c r="D286">
        <v>16.739999999999998</v>
      </c>
      <c r="N286" s="46">
        <v>43784</v>
      </c>
      <c r="O286" t="s">
        <v>396</v>
      </c>
    </row>
    <row r="287" spans="2:15">
      <c r="B287" s="46">
        <v>43787</v>
      </c>
      <c r="C287">
        <v>250.74899700401201</v>
      </c>
      <c r="D287">
        <v>7.86</v>
      </c>
      <c r="N287" s="46">
        <v>43787</v>
      </c>
      <c r="O287" t="s">
        <v>397</v>
      </c>
    </row>
    <row r="288" spans="2:15">
      <c r="B288" s="46">
        <v>43788</v>
      </c>
      <c r="C288">
        <v>249.31446023869387</v>
      </c>
      <c r="D288">
        <v>12.15</v>
      </c>
      <c r="N288" s="46">
        <v>43788</v>
      </c>
      <c r="O288" t="s">
        <v>172</v>
      </c>
    </row>
    <row r="289" spans="2:15">
      <c r="B289" s="46">
        <v>43789</v>
      </c>
      <c r="C289">
        <v>250.68596158615114</v>
      </c>
      <c r="D289">
        <v>9.98</v>
      </c>
      <c r="N289" s="46">
        <v>43789</v>
      </c>
      <c r="O289" t="s">
        <v>315</v>
      </c>
    </row>
    <row r="290" spans="2:15">
      <c r="B290" s="46">
        <v>43790</v>
      </c>
      <c r="C290">
        <v>245.74890403190233</v>
      </c>
      <c r="D290">
        <v>10.39</v>
      </c>
      <c r="N290" s="46">
        <v>43790</v>
      </c>
      <c r="O290" t="s">
        <v>398</v>
      </c>
    </row>
    <row r="291" spans="2:15">
      <c r="B291" s="46">
        <v>43791</v>
      </c>
      <c r="C291">
        <v>247.63043719546158</v>
      </c>
      <c r="D291">
        <v>16.37</v>
      </c>
      <c r="N291" s="46">
        <v>43791</v>
      </c>
      <c r="O291" t="s">
        <v>399</v>
      </c>
    </row>
    <row r="292" spans="2:15">
      <c r="B292" s="46">
        <v>43794</v>
      </c>
      <c r="C292">
        <v>247.74900900396401</v>
      </c>
      <c r="D292">
        <v>10.59</v>
      </c>
      <c r="N292" s="46">
        <v>43794</v>
      </c>
      <c r="O292" t="s">
        <v>400</v>
      </c>
    </row>
    <row r="293" spans="2:15">
      <c r="B293" s="46">
        <v>43795</v>
      </c>
      <c r="C293">
        <v>249.13579925944222</v>
      </c>
      <c r="D293">
        <v>19.78</v>
      </c>
      <c r="N293" s="46">
        <v>43795</v>
      </c>
      <c r="O293" t="s">
        <v>401</v>
      </c>
    </row>
    <row r="294" spans="2:15">
      <c r="B294" s="46">
        <v>43796</v>
      </c>
      <c r="C294">
        <v>246.97173351254909</v>
      </c>
      <c r="D294">
        <v>8.84</v>
      </c>
      <c r="N294" s="46">
        <v>43796</v>
      </c>
      <c r="O294" t="s">
        <v>269</v>
      </c>
    </row>
    <row r="295" spans="2:15">
      <c r="B295" s="46">
        <v>43797</v>
      </c>
      <c r="C295">
        <v>246.70246702467023</v>
      </c>
      <c r="D295">
        <v>10.99</v>
      </c>
      <c r="N295" s="46">
        <v>43797</v>
      </c>
      <c r="O295" t="s">
        <v>215</v>
      </c>
    </row>
    <row r="296" spans="2:15">
      <c r="B296" s="46">
        <v>43798</v>
      </c>
      <c r="C296">
        <v>246.40295683548203</v>
      </c>
      <c r="D296">
        <v>9.81</v>
      </c>
      <c r="N296" s="46">
        <v>43798</v>
      </c>
      <c r="O296" t="s">
        <v>402</v>
      </c>
    </row>
    <row r="297" spans="2:15">
      <c r="B297" s="46">
        <v>43801</v>
      </c>
      <c r="C297">
        <v>244.96445290272126</v>
      </c>
      <c r="D297">
        <v>9.9700000000000006</v>
      </c>
      <c r="N297" s="46">
        <v>43801</v>
      </c>
      <c r="O297" t="s">
        <v>403</v>
      </c>
    </row>
    <row r="298" spans="2:15">
      <c r="B298" s="46">
        <v>43802</v>
      </c>
      <c r="C298">
        <v>244.05903018411681</v>
      </c>
      <c r="D298">
        <v>8.1300000000000008</v>
      </c>
      <c r="N298" s="46">
        <v>43802</v>
      </c>
      <c r="O298" t="s">
        <v>404</v>
      </c>
    </row>
    <row r="299" spans="2:15">
      <c r="B299" s="46">
        <v>43803</v>
      </c>
      <c r="C299">
        <v>243.15899688288465</v>
      </c>
      <c r="D299">
        <v>11.95</v>
      </c>
      <c r="N299" s="46">
        <v>43803</v>
      </c>
      <c r="O299" t="s">
        <v>405</v>
      </c>
    </row>
    <row r="300" spans="2:15">
      <c r="B300" s="46">
        <v>43804</v>
      </c>
      <c r="C300">
        <v>246.91148180883781</v>
      </c>
      <c r="D300">
        <v>11.27</v>
      </c>
      <c r="N300" s="46">
        <v>43804</v>
      </c>
      <c r="O300" t="s">
        <v>406</v>
      </c>
    </row>
    <row r="301" spans="2:15">
      <c r="B301" s="46">
        <v>43805</v>
      </c>
      <c r="C301">
        <v>243.38553428800603</v>
      </c>
      <c r="D301">
        <v>10.37</v>
      </c>
      <c r="N301" s="46">
        <v>43805</v>
      </c>
      <c r="O301" t="s">
        <v>407</v>
      </c>
    </row>
    <row r="302" spans="2:15">
      <c r="B302" s="46">
        <v>43808</v>
      </c>
      <c r="C302">
        <v>241.46883456909637</v>
      </c>
      <c r="D302">
        <v>6.72</v>
      </c>
      <c r="N302" s="46">
        <v>43808</v>
      </c>
      <c r="O302" t="s">
        <v>408</v>
      </c>
    </row>
    <row r="303" spans="2:15">
      <c r="B303" s="46">
        <v>43809</v>
      </c>
      <c r="C303">
        <v>235.65702900101823</v>
      </c>
      <c r="D303">
        <v>15.38</v>
      </c>
      <c r="N303" s="46">
        <v>43809</v>
      </c>
      <c r="O303" t="s">
        <v>409</v>
      </c>
    </row>
    <row r="304" spans="2:15">
      <c r="B304" s="46">
        <v>43810</v>
      </c>
      <c r="C304">
        <v>237.57980571651413</v>
      </c>
      <c r="D304">
        <v>13.8</v>
      </c>
      <c r="N304" s="46">
        <v>43810</v>
      </c>
      <c r="O304" t="s">
        <v>410</v>
      </c>
    </row>
    <row r="305" spans="2:15">
      <c r="B305" s="46">
        <v>43811</v>
      </c>
      <c r="C305">
        <v>238.54045838166473</v>
      </c>
      <c r="D305">
        <v>10.31</v>
      </c>
      <c r="N305" s="46">
        <v>43811</v>
      </c>
      <c r="O305" t="s">
        <v>411</v>
      </c>
    </row>
    <row r="306" spans="2:15">
      <c r="B306" s="46">
        <v>43812</v>
      </c>
      <c r="C306">
        <v>241.5690791578678</v>
      </c>
      <c r="D306">
        <v>8.2100000000000009</v>
      </c>
      <c r="N306" s="46">
        <v>43812</v>
      </c>
      <c r="O306" t="s">
        <v>412</v>
      </c>
    </row>
    <row r="307" spans="2:15">
      <c r="B307" s="46">
        <v>43815</v>
      </c>
      <c r="C307">
        <v>236.94620450987941</v>
      </c>
      <c r="D307">
        <v>12.01</v>
      </c>
      <c r="N307" s="46">
        <v>43815</v>
      </c>
      <c r="O307" t="s">
        <v>413</v>
      </c>
    </row>
    <row r="308" spans="2:15">
      <c r="B308" s="46">
        <v>43816</v>
      </c>
      <c r="C308">
        <v>241.00782363086461</v>
      </c>
      <c r="D308">
        <v>15.92</v>
      </c>
      <c r="N308" s="46">
        <v>43816</v>
      </c>
      <c r="O308" t="s">
        <v>414</v>
      </c>
    </row>
    <row r="309" spans="2:15">
      <c r="B309" s="46">
        <v>43817</v>
      </c>
      <c r="C309">
        <v>245.10833158363079</v>
      </c>
      <c r="D309">
        <v>17.13</v>
      </c>
      <c r="N309" s="46">
        <v>43817</v>
      </c>
      <c r="O309" t="s">
        <v>415</v>
      </c>
    </row>
    <row r="310" spans="2:15">
      <c r="B310" s="46">
        <v>43818</v>
      </c>
      <c r="C310">
        <v>244.35806381610593</v>
      </c>
      <c r="D310">
        <v>9.34</v>
      </c>
      <c r="N310" s="46">
        <v>43818</v>
      </c>
      <c r="O310" t="s">
        <v>416</v>
      </c>
    </row>
    <row r="311" spans="2:15">
      <c r="B311" s="46">
        <v>43819</v>
      </c>
      <c r="C311">
        <v>241.18159478891735</v>
      </c>
      <c r="D311">
        <v>13.96</v>
      </c>
      <c r="N311" s="46">
        <v>43819</v>
      </c>
      <c r="O311" t="s">
        <v>417</v>
      </c>
    </row>
    <row r="312" spans="2:15">
      <c r="B312" s="46">
        <v>43822</v>
      </c>
      <c r="C312">
        <v>238.92221976643827</v>
      </c>
      <c r="D312">
        <v>19.079999999999998</v>
      </c>
      <c r="N312" s="46">
        <v>43822</v>
      </c>
      <c r="O312" t="s">
        <v>418</v>
      </c>
    </row>
    <row r="313" spans="2:15">
      <c r="B313" s="46">
        <v>43823</v>
      </c>
      <c r="C313">
        <v>238.75143250859503</v>
      </c>
      <c r="D313">
        <v>7.9</v>
      </c>
      <c r="N313" s="46">
        <v>43823</v>
      </c>
      <c r="O313" t="s">
        <v>389</v>
      </c>
    </row>
    <row r="314" spans="2:15">
      <c r="B314" s="46">
        <v>43825</v>
      </c>
      <c r="C314">
        <v>236.8194191923738</v>
      </c>
      <c r="D314">
        <v>14.46</v>
      </c>
      <c r="N314" s="46">
        <v>43825</v>
      </c>
      <c r="O314" t="s">
        <v>419</v>
      </c>
    </row>
    <row r="315" spans="2:15">
      <c r="B315" s="46">
        <v>43826</v>
      </c>
      <c r="C315">
        <v>236.89905240379042</v>
      </c>
      <c r="D315">
        <v>8.7100000000000009</v>
      </c>
      <c r="N315" s="46">
        <v>43826</v>
      </c>
      <c r="O315" t="s">
        <v>420</v>
      </c>
    </row>
    <row r="316" spans="2:15">
      <c r="B316" s="46">
        <v>43829</v>
      </c>
      <c r="C316">
        <v>238.18689972051538</v>
      </c>
      <c r="D316">
        <v>13.17</v>
      </c>
      <c r="N316" s="46">
        <v>43829</v>
      </c>
      <c r="O316" t="s">
        <v>421</v>
      </c>
    </row>
    <row r="317" spans="2:15">
      <c r="B317" s="46">
        <v>43830</v>
      </c>
      <c r="C317">
        <v>237.7049918048279</v>
      </c>
      <c r="D317">
        <v>7.14</v>
      </c>
      <c r="N317" s="46">
        <v>43830</v>
      </c>
      <c r="O317" t="s">
        <v>422</v>
      </c>
    </row>
    <row r="318" spans="2:15">
      <c r="B318" s="46">
        <v>43831</v>
      </c>
      <c r="C318">
        <v>238.09595236880975</v>
      </c>
      <c r="D318">
        <v>4.21</v>
      </c>
      <c r="N318" s="46">
        <v>43831</v>
      </c>
      <c r="O318" t="s">
        <v>423</v>
      </c>
    </row>
    <row r="319" spans="2:15">
      <c r="B319" s="46">
        <v>43832</v>
      </c>
      <c r="C319">
        <v>239.83249222806734</v>
      </c>
      <c r="D319">
        <v>8.4</v>
      </c>
      <c r="N319" s="46">
        <v>43832</v>
      </c>
      <c r="O319" t="s">
        <v>322</v>
      </c>
    </row>
    <row r="320" spans="2:15">
      <c r="B320" s="46">
        <v>43833</v>
      </c>
      <c r="C320">
        <v>238.51335674797787</v>
      </c>
      <c r="D320">
        <v>9.2799999999999994</v>
      </c>
      <c r="N320" s="46">
        <v>43833</v>
      </c>
      <c r="O320" t="s">
        <v>424</v>
      </c>
    </row>
    <row r="321" spans="2:15">
      <c r="B321" s="46">
        <v>43836</v>
      </c>
      <c r="C321">
        <v>235.13362410824749</v>
      </c>
      <c r="D321">
        <v>7.64</v>
      </c>
      <c r="N321" s="46">
        <v>43836</v>
      </c>
      <c r="O321" t="s">
        <v>425</v>
      </c>
    </row>
    <row r="322" spans="2:15">
      <c r="B322" s="46">
        <v>43837</v>
      </c>
      <c r="C322">
        <v>235.34741117847705</v>
      </c>
      <c r="D322">
        <v>8.42</v>
      </c>
      <c r="N322" s="46">
        <v>43837</v>
      </c>
      <c r="O322" t="s">
        <v>426</v>
      </c>
    </row>
    <row r="323" spans="2:15">
      <c r="B323" s="46">
        <v>43838</v>
      </c>
      <c r="C323">
        <v>234.21147636234173</v>
      </c>
      <c r="D323">
        <v>7.04</v>
      </c>
      <c r="N323" s="46">
        <v>43838</v>
      </c>
      <c r="O323" t="s">
        <v>427</v>
      </c>
    </row>
    <row r="324" spans="2:15">
      <c r="B324" s="46">
        <v>43839</v>
      </c>
      <c r="C324">
        <v>235.78396669026509</v>
      </c>
      <c r="D324">
        <v>9.4499999999999993</v>
      </c>
      <c r="N324" s="46">
        <v>43839</v>
      </c>
      <c r="O324" t="s">
        <v>163</v>
      </c>
    </row>
    <row r="325" spans="2:15">
      <c r="B325" s="46">
        <v>43840</v>
      </c>
      <c r="C325">
        <v>237.97786805827062</v>
      </c>
      <c r="D325">
        <v>9.9700000000000006</v>
      </c>
      <c r="N325" s="46">
        <v>43840</v>
      </c>
      <c r="O325" t="s">
        <v>403</v>
      </c>
    </row>
    <row r="326" spans="2:15">
      <c r="B326" s="46">
        <v>43843</v>
      </c>
      <c r="C326">
        <v>239.2373204220176</v>
      </c>
      <c r="D326">
        <v>12.24</v>
      </c>
      <c r="N326" s="46">
        <v>43843</v>
      </c>
      <c r="O326" t="s">
        <v>428</v>
      </c>
    </row>
    <row r="327" spans="2:15">
      <c r="B327" s="46">
        <v>43844</v>
      </c>
      <c r="C327">
        <v>243.2093840328665</v>
      </c>
      <c r="D327">
        <v>11.84</v>
      </c>
      <c r="N327" s="46">
        <v>43844</v>
      </c>
      <c r="O327" t="s">
        <v>429</v>
      </c>
    </row>
    <row r="328" spans="2:15">
      <c r="B328" s="46">
        <v>43845</v>
      </c>
      <c r="C328">
        <v>242.40848429695041</v>
      </c>
      <c r="D328">
        <v>5.48</v>
      </c>
      <c r="N328" s="46">
        <v>43845</v>
      </c>
      <c r="O328" t="s">
        <v>430</v>
      </c>
    </row>
    <row r="329" spans="2:15">
      <c r="B329" s="46">
        <v>43846</v>
      </c>
      <c r="C329">
        <v>240.7663721133037</v>
      </c>
      <c r="D329">
        <v>9.3699999999999992</v>
      </c>
      <c r="N329" s="46">
        <v>43846</v>
      </c>
      <c r="O329" t="s">
        <v>431</v>
      </c>
    </row>
    <row r="330" spans="2:15">
      <c r="B330" s="46">
        <v>43847</v>
      </c>
      <c r="C330">
        <v>239.95791861131414</v>
      </c>
      <c r="D330">
        <v>7.39</v>
      </c>
      <c r="N330" s="46">
        <v>43847</v>
      </c>
      <c r="O330" t="s">
        <v>432</v>
      </c>
    </row>
    <row r="331" spans="2:15">
      <c r="B331" s="46">
        <v>43850</v>
      </c>
      <c r="C331">
        <v>241.88040768697735</v>
      </c>
      <c r="D331">
        <v>8.02</v>
      </c>
      <c r="N331" s="46">
        <v>43850</v>
      </c>
      <c r="O331" t="s">
        <v>254</v>
      </c>
    </row>
    <row r="332" spans="2:15">
      <c r="B332" s="46">
        <v>43851</v>
      </c>
      <c r="C332">
        <v>238.48410322676142</v>
      </c>
      <c r="D332">
        <v>9.57</v>
      </c>
      <c r="N332" s="46">
        <v>43851</v>
      </c>
      <c r="O332" t="s">
        <v>433</v>
      </c>
    </row>
    <row r="333" spans="2:15">
      <c r="B333" s="46">
        <v>43852</v>
      </c>
      <c r="C333">
        <v>238.05404691879764</v>
      </c>
      <c r="D333">
        <v>7.65</v>
      </c>
      <c r="N333" s="46">
        <v>43852</v>
      </c>
      <c r="O333" t="s">
        <v>434</v>
      </c>
    </row>
    <row r="334" spans="2:15">
      <c r="B334" s="46">
        <v>43853</v>
      </c>
      <c r="C334">
        <v>237.90142740856444</v>
      </c>
      <c r="D334">
        <v>6.12</v>
      </c>
      <c r="N334" s="46">
        <v>43853</v>
      </c>
      <c r="O334" t="s">
        <v>435</v>
      </c>
    </row>
    <row r="335" spans="2:15">
      <c r="B335" s="46">
        <v>43854</v>
      </c>
      <c r="C335">
        <v>238.14738037881585</v>
      </c>
      <c r="D335">
        <v>6.8</v>
      </c>
      <c r="N335" s="46">
        <v>43854</v>
      </c>
      <c r="O335" t="s">
        <v>436</v>
      </c>
    </row>
    <row r="336" spans="2:15">
      <c r="B336" s="46">
        <v>43857</v>
      </c>
      <c r="C336">
        <v>234.63496060913076</v>
      </c>
      <c r="D336">
        <v>6.84</v>
      </c>
      <c r="N336" s="46">
        <v>43857</v>
      </c>
      <c r="O336" t="s">
        <v>437</v>
      </c>
    </row>
    <row r="337" spans="2:15">
      <c r="B337" s="46">
        <v>43858</v>
      </c>
      <c r="C337">
        <v>230.78784920727</v>
      </c>
      <c r="D337">
        <v>14.58</v>
      </c>
      <c r="N337" s="46">
        <v>43858</v>
      </c>
      <c r="O337" t="s">
        <v>438</v>
      </c>
    </row>
    <row r="338" spans="2:15">
      <c r="B338" s="46">
        <v>43859</v>
      </c>
      <c r="C338">
        <v>236.5894331051251</v>
      </c>
      <c r="D338">
        <v>20.47</v>
      </c>
      <c r="N338" s="46">
        <v>43859</v>
      </c>
      <c r="O338" t="s">
        <v>439</v>
      </c>
    </row>
    <row r="339" spans="2:15">
      <c r="B339" s="46">
        <v>43860</v>
      </c>
      <c r="C339">
        <v>234.07574833231658</v>
      </c>
      <c r="D339">
        <v>10.39</v>
      </c>
      <c r="N339" s="46">
        <v>43860</v>
      </c>
      <c r="O339" t="s">
        <v>398</v>
      </c>
    </row>
    <row r="340" spans="2:15">
      <c r="B340" s="46">
        <v>43861</v>
      </c>
      <c r="C340">
        <v>235.13894846942196</v>
      </c>
      <c r="D340">
        <v>18.46</v>
      </c>
      <c r="N340" s="46">
        <v>43861</v>
      </c>
      <c r="O340" t="s">
        <v>440</v>
      </c>
    </row>
    <row r="341" spans="2:15">
      <c r="B341" s="46">
        <v>43862</v>
      </c>
      <c r="C341">
        <v>219.15055643226896</v>
      </c>
      <c r="D341">
        <v>42.27</v>
      </c>
      <c r="N341" s="46">
        <v>43862</v>
      </c>
      <c r="O341" t="s">
        <v>441</v>
      </c>
    </row>
    <row r="342" spans="2:15">
      <c r="B342" s="46">
        <v>43864</v>
      </c>
      <c r="C342">
        <v>207.70821598052584</v>
      </c>
      <c r="D342">
        <v>79.760000000000005</v>
      </c>
      <c r="N342" s="46">
        <v>43864</v>
      </c>
      <c r="O342" t="s">
        <v>442</v>
      </c>
    </row>
    <row r="343" spans="2:15">
      <c r="B343" s="46">
        <v>43865</v>
      </c>
      <c r="C343">
        <v>215.56636025222213</v>
      </c>
      <c r="D343">
        <v>35.770000000000003</v>
      </c>
      <c r="N343" s="46">
        <v>43865</v>
      </c>
      <c r="O343" t="s">
        <v>443</v>
      </c>
    </row>
    <row r="344" spans="2:15">
      <c r="B344" s="46">
        <v>43866</v>
      </c>
      <c r="C344">
        <v>216.44199164630905</v>
      </c>
      <c r="D344">
        <v>21.25</v>
      </c>
      <c r="N344" s="46">
        <v>43866</v>
      </c>
      <c r="O344" t="s">
        <v>444</v>
      </c>
    </row>
    <row r="345" spans="2:15">
      <c r="B345" s="46">
        <v>43867</v>
      </c>
      <c r="C345">
        <v>213.57861953501771</v>
      </c>
      <c r="D345">
        <v>27.39</v>
      </c>
      <c r="N345" s="46">
        <v>43867</v>
      </c>
      <c r="O345" t="s">
        <v>445</v>
      </c>
    </row>
    <row r="346" spans="2:15">
      <c r="B346" s="46">
        <v>43868</v>
      </c>
      <c r="C346">
        <v>213.40149381045669</v>
      </c>
      <c r="D346">
        <v>17.13</v>
      </c>
      <c r="N346" s="46">
        <v>43868</v>
      </c>
      <c r="O346" t="s">
        <v>415</v>
      </c>
    </row>
    <row r="347" spans="2:15">
      <c r="B347" s="46">
        <v>43871</v>
      </c>
      <c r="C347">
        <v>210.57821748114247</v>
      </c>
      <c r="D347">
        <v>9.6199999999999992</v>
      </c>
      <c r="N347" s="46">
        <v>43871</v>
      </c>
      <c r="O347" t="s">
        <v>446</v>
      </c>
    </row>
    <row r="348" spans="2:15">
      <c r="B348" s="46">
        <v>43872</v>
      </c>
      <c r="C348">
        <v>212.57937980015939</v>
      </c>
      <c r="D348">
        <v>29.8</v>
      </c>
      <c r="N348" s="46">
        <v>43872</v>
      </c>
      <c r="O348" t="s">
        <v>447</v>
      </c>
    </row>
    <row r="349" spans="2:15">
      <c r="B349" s="46">
        <v>43873</v>
      </c>
      <c r="C349">
        <v>213.04552604395309</v>
      </c>
      <c r="D349">
        <v>9.93</v>
      </c>
      <c r="N349" s="46">
        <v>43873</v>
      </c>
      <c r="O349" t="s">
        <v>203</v>
      </c>
    </row>
    <row r="350" spans="2:15">
      <c r="B350" s="46">
        <v>43874</v>
      </c>
      <c r="C350">
        <v>211.91144321793377</v>
      </c>
      <c r="D350">
        <v>9.15</v>
      </c>
      <c r="N350" s="46">
        <v>43874</v>
      </c>
      <c r="O350" t="s">
        <v>448</v>
      </c>
    </row>
    <row r="351" spans="2:15">
      <c r="B351" s="46">
        <v>43875</v>
      </c>
      <c r="C351">
        <v>207.74113274428336</v>
      </c>
      <c r="D351">
        <v>13.73</v>
      </c>
      <c r="N351" s="46">
        <v>43875</v>
      </c>
      <c r="O351" t="s">
        <v>449</v>
      </c>
    </row>
    <row r="352" spans="2:15">
      <c r="B352" s="46">
        <v>43878</v>
      </c>
      <c r="C352">
        <v>204.82867601464207</v>
      </c>
      <c r="D352">
        <v>15.56</v>
      </c>
      <c r="N352" s="46">
        <v>43878</v>
      </c>
      <c r="O352" t="s">
        <v>450</v>
      </c>
    </row>
    <row r="353" spans="2:15">
      <c r="B353" s="46">
        <v>43879</v>
      </c>
      <c r="C353">
        <v>203.85937753136645</v>
      </c>
      <c r="D353">
        <v>20.93</v>
      </c>
      <c r="N353" s="46">
        <v>43879</v>
      </c>
      <c r="O353" t="s">
        <v>451</v>
      </c>
    </row>
    <row r="354" spans="2:15">
      <c r="B354" s="46">
        <v>43880</v>
      </c>
      <c r="C354">
        <v>206.67106605075287</v>
      </c>
      <c r="D354">
        <v>9.0500000000000007</v>
      </c>
      <c r="N354" s="46">
        <v>43880</v>
      </c>
      <c r="O354" t="s">
        <v>306</v>
      </c>
    </row>
    <row r="355" spans="2:15">
      <c r="B355" s="46">
        <v>43881</v>
      </c>
      <c r="C355">
        <v>207.44253206884554</v>
      </c>
      <c r="D355">
        <v>15.59</v>
      </c>
      <c r="N355" s="46">
        <v>43881</v>
      </c>
      <c r="O355" t="s">
        <v>452</v>
      </c>
    </row>
    <row r="356" spans="2:15">
      <c r="B356" s="46">
        <v>43885</v>
      </c>
      <c r="C356">
        <v>203.04365438569292</v>
      </c>
      <c r="D356">
        <v>16.59</v>
      </c>
      <c r="N356" s="46">
        <v>43885</v>
      </c>
      <c r="O356" t="s">
        <v>453</v>
      </c>
    </row>
    <row r="357" spans="2:15">
      <c r="B357" s="46">
        <v>43886</v>
      </c>
      <c r="C357">
        <v>201.81190690250727</v>
      </c>
      <c r="D357">
        <v>15.31</v>
      </c>
      <c r="N357" s="46">
        <v>43886</v>
      </c>
      <c r="O357" t="s">
        <v>153</v>
      </c>
    </row>
    <row r="358" spans="2:15">
      <c r="B358" s="46">
        <v>43887</v>
      </c>
      <c r="C358">
        <v>198.63158242160503</v>
      </c>
      <c r="D358">
        <v>17.87</v>
      </c>
      <c r="N358" s="46">
        <v>43887</v>
      </c>
      <c r="O358" t="s">
        <v>454</v>
      </c>
    </row>
    <row r="359" spans="2:15">
      <c r="B359" s="46">
        <v>43888</v>
      </c>
      <c r="C359">
        <v>197.56047070494736</v>
      </c>
      <c r="D359">
        <v>17.27</v>
      </c>
      <c r="N359" s="46">
        <v>43888</v>
      </c>
      <c r="O359" t="s">
        <v>455</v>
      </c>
    </row>
    <row r="360" spans="2:15">
      <c r="B360" s="46">
        <v>43889</v>
      </c>
      <c r="C360">
        <v>197.55</v>
      </c>
      <c r="D360">
        <v>32.630000000000003</v>
      </c>
      <c r="N360" s="46">
        <v>43889</v>
      </c>
      <c r="O360" t="s">
        <v>456</v>
      </c>
    </row>
    <row r="361" spans="2:15">
      <c r="B361" s="46">
        <v>43892</v>
      </c>
      <c r="C361">
        <v>195.32226673840819</v>
      </c>
      <c r="D361">
        <v>18.559999999999999</v>
      </c>
      <c r="N361" s="46">
        <v>43892</v>
      </c>
      <c r="O361" t="s">
        <v>457</v>
      </c>
    </row>
    <row r="362" spans="2:15">
      <c r="B362" s="46">
        <v>43893</v>
      </c>
      <c r="C362">
        <v>193.86434596160115</v>
      </c>
      <c r="D362">
        <v>17.95</v>
      </c>
      <c r="N362" s="46">
        <v>43893</v>
      </c>
      <c r="O362" t="s">
        <v>458</v>
      </c>
    </row>
    <row r="363" spans="2:15">
      <c r="B363" s="46">
        <v>43894</v>
      </c>
      <c r="C363">
        <v>187.56152017861859</v>
      </c>
      <c r="D363">
        <v>27.66</v>
      </c>
      <c r="N363" s="46">
        <v>43894</v>
      </c>
      <c r="O363" t="s">
        <v>459</v>
      </c>
    </row>
    <row r="364" spans="2:15">
      <c r="B364" s="46">
        <v>43895</v>
      </c>
      <c r="C364">
        <v>188.04454670814548</v>
      </c>
      <c r="D364">
        <v>20.03</v>
      </c>
      <c r="N364" s="46">
        <v>43895</v>
      </c>
      <c r="O364" t="s">
        <v>460</v>
      </c>
    </row>
    <row r="365" spans="2:15">
      <c r="B365" s="46">
        <v>43896</v>
      </c>
      <c r="C365">
        <v>181.81090665372901</v>
      </c>
      <c r="D365">
        <v>26.76</v>
      </c>
      <c r="N365" s="46">
        <v>43896</v>
      </c>
      <c r="O365" t="s">
        <v>461</v>
      </c>
    </row>
    <row r="366" spans="2:15">
      <c r="B366" s="46">
        <v>43899</v>
      </c>
      <c r="C366">
        <v>177.24431107776942</v>
      </c>
      <c r="D366">
        <v>21.8</v>
      </c>
      <c r="N366" s="46">
        <v>43899</v>
      </c>
      <c r="O366" t="s">
        <v>462</v>
      </c>
    </row>
    <row r="367" spans="2:15">
      <c r="B367" s="46">
        <v>43901</v>
      </c>
      <c r="C367">
        <v>175.66528287961052</v>
      </c>
      <c r="D367">
        <v>27.96</v>
      </c>
      <c r="N367" s="46">
        <v>43901</v>
      </c>
      <c r="O367" t="s">
        <v>463</v>
      </c>
    </row>
    <row r="368" spans="2:15">
      <c r="B368" s="46">
        <v>43902</v>
      </c>
      <c r="C368">
        <v>155.97625316607767</v>
      </c>
      <c r="D368">
        <v>52.04</v>
      </c>
      <c r="N368" s="46">
        <v>43902</v>
      </c>
      <c r="O368" t="s">
        <v>365</v>
      </c>
    </row>
    <row r="369" spans="2:15">
      <c r="B369" s="46">
        <v>43903</v>
      </c>
      <c r="C369">
        <v>162.18285629749286</v>
      </c>
      <c r="D369">
        <v>61.59</v>
      </c>
      <c r="N369" s="46">
        <v>43903</v>
      </c>
      <c r="O369" t="s">
        <v>464</v>
      </c>
    </row>
    <row r="370" spans="2:15">
      <c r="B370" s="46">
        <v>43906</v>
      </c>
      <c r="C370">
        <v>147.38618483478734</v>
      </c>
      <c r="D370">
        <v>33.26</v>
      </c>
      <c r="N370" s="46">
        <v>43906</v>
      </c>
      <c r="O370" t="s">
        <v>465</v>
      </c>
    </row>
    <row r="371" spans="2:15">
      <c r="B371" s="46">
        <v>43907</v>
      </c>
      <c r="C371">
        <v>149.130762131685</v>
      </c>
      <c r="D371">
        <v>47.66</v>
      </c>
      <c r="N371" s="46">
        <v>43907</v>
      </c>
      <c r="O371" t="s">
        <v>466</v>
      </c>
    </row>
    <row r="372" spans="2:15">
      <c r="B372" s="46">
        <v>43908</v>
      </c>
      <c r="C372">
        <v>150.68432882980167</v>
      </c>
      <c r="D372">
        <v>50.25</v>
      </c>
      <c r="N372" s="46">
        <v>43908</v>
      </c>
      <c r="O372" t="s">
        <v>467</v>
      </c>
    </row>
    <row r="373" spans="2:15">
      <c r="B373" s="46">
        <v>43909</v>
      </c>
      <c r="C373">
        <v>161.73031956352298</v>
      </c>
      <c r="D373">
        <v>89.75</v>
      </c>
      <c r="N373" s="46">
        <v>43909</v>
      </c>
      <c r="O373" t="s">
        <v>468</v>
      </c>
    </row>
    <row r="374" spans="2:15">
      <c r="B374" s="46">
        <v>43910</v>
      </c>
      <c r="C374">
        <v>175.35217811385004</v>
      </c>
      <c r="D374">
        <v>62</v>
      </c>
      <c r="N374" s="46">
        <v>43910</v>
      </c>
      <c r="O374" t="s">
        <v>469</v>
      </c>
    </row>
    <row r="375" spans="2:15">
      <c r="B375" s="46">
        <v>43913</v>
      </c>
      <c r="C375">
        <v>154.48661983676283</v>
      </c>
      <c r="D375">
        <v>51.35</v>
      </c>
      <c r="N375" s="46">
        <v>43913</v>
      </c>
      <c r="O375" t="s">
        <v>470</v>
      </c>
    </row>
    <row r="376" spans="2:15">
      <c r="B376" s="46">
        <v>43914</v>
      </c>
      <c r="C376">
        <v>149.74462389792157</v>
      </c>
      <c r="D376">
        <v>52.57</v>
      </c>
      <c r="N376" s="46">
        <v>43914</v>
      </c>
      <c r="O376" t="s">
        <v>471</v>
      </c>
    </row>
    <row r="377" spans="2:15">
      <c r="B377" s="46">
        <v>43915</v>
      </c>
      <c r="C377">
        <v>147.37313758260046</v>
      </c>
      <c r="D377">
        <v>62.51</v>
      </c>
      <c r="N377" s="46">
        <v>43915</v>
      </c>
      <c r="O377" t="s">
        <v>472</v>
      </c>
    </row>
    <row r="378" spans="2:15">
      <c r="B378" s="46">
        <v>43916</v>
      </c>
      <c r="C378">
        <v>156.30402932599387</v>
      </c>
      <c r="D378">
        <v>58.44</v>
      </c>
      <c r="N378" s="46">
        <v>43916</v>
      </c>
      <c r="O378" t="s">
        <v>473</v>
      </c>
    </row>
    <row r="379" spans="2:15">
      <c r="B379" s="46">
        <v>43917</v>
      </c>
      <c r="C379">
        <v>163.12903886809238</v>
      </c>
      <c r="D379">
        <v>32.64</v>
      </c>
      <c r="N379" s="46">
        <v>43917</v>
      </c>
      <c r="O379" t="s">
        <v>474</v>
      </c>
    </row>
    <row r="380" spans="2:15">
      <c r="B380" s="46">
        <v>43920</v>
      </c>
      <c r="C380">
        <v>159.23901355832177</v>
      </c>
      <c r="D380">
        <v>28.12</v>
      </c>
      <c r="N380" s="46">
        <v>43920</v>
      </c>
      <c r="O380" t="s">
        <v>475</v>
      </c>
    </row>
    <row r="381" spans="2:15">
      <c r="B381" s="46">
        <v>43921</v>
      </c>
      <c r="C381">
        <v>171.56532122284005</v>
      </c>
      <c r="D381">
        <v>42.63</v>
      </c>
      <c r="N381" s="46">
        <v>43921</v>
      </c>
      <c r="O381" t="s">
        <v>476</v>
      </c>
    </row>
    <row r="382" spans="2:15">
      <c r="B382" s="46">
        <v>43922</v>
      </c>
      <c r="C382">
        <v>166.45143349294932</v>
      </c>
      <c r="D382">
        <v>18.14</v>
      </c>
      <c r="N382" s="46">
        <v>43922</v>
      </c>
      <c r="O382" t="s">
        <v>477</v>
      </c>
    </row>
    <row r="383" spans="2:15">
      <c r="B383" s="46">
        <v>43924</v>
      </c>
      <c r="C383">
        <v>177.77715598521422</v>
      </c>
      <c r="D383">
        <v>62.87</v>
      </c>
      <c r="N383" s="46">
        <v>43924</v>
      </c>
      <c r="O383" t="s">
        <v>478</v>
      </c>
    </row>
    <row r="384" spans="2:15">
      <c r="B384" s="46">
        <v>43928</v>
      </c>
      <c r="C384">
        <v>181.51278987807501</v>
      </c>
      <c r="D384">
        <v>36.119999999999997</v>
      </c>
      <c r="N384" s="46">
        <v>43928</v>
      </c>
      <c r="O384" t="s">
        <v>479</v>
      </c>
    </row>
    <row r="385" spans="2:15">
      <c r="B385" s="46">
        <v>43929</v>
      </c>
      <c r="C385">
        <v>178.67858857417187</v>
      </c>
      <c r="D385">
        <v>37.56</v>
      </c>
      <c r="N385" s="46">
        <v>43929</v>
      </c>
      <c r="O385" t="s">
        <v>480</v>
      </c>
    </row>
    <row r="386" spans="2:15">
      <c r="B386" s="46">
        <v>43930</v>
      </c>
      <c r="C386">
        <v>185.18166796452107</v>
      </c>
      <c r="D386">
        <v>42.64</v>
      </c>
      <c r="N386" s="46">
        <v>43930</v>
      </c>
      <c r="O386" t="s">
        <v>481</v>
      </c>
    </row>
    <row r="387" spans="2:15">
      <c r="B387" s="46">
        <v>43934</v>
      </c>
      <c r="C387">
        <v>181.63578224910307</v>
      </c>
      <c r="D387">
        <v>17.739999999999998</v>
      </c>
      <c r="N387" s="46">
        <v>43934</v>
      </c>
      <c r="O387" t="s">
        <v>482</v>
      </c>
    </row>
    <row r="388" spans="2:15">
      <c r="B388" s="46">
        <v>43936</v>
      </c>
      <c r="C388">
        <v>189.26918205926069</v>
      </c>
      <c r="D388">
        <v>49.09</v>
      </c>
      <c r="N388" s="46">
        <v>43936</v>
      </c>
      <c r="O388" t="s">
        <v>483</v>
      </c>
    </row>
    <row r="389" spans="2:15">
      <c r="B389" s="46">
        <v>43937</v>
      </c>
      <c r="C389">
        <v>186.37944795277653</v>
      </c>
      <c r="D389">
        <v>27.08</v>
      </c>
      <c r="N389" s="46">
        <v>43937</v>
      </c>
      <c r="O389" t="s">
        <v>484</v>
      </c>
    </row>
    <row r="390" spans="2:15">
      <c r="B390" s="46">
        <v>43938</v>
      </c>
      <c r="C390">
        <v>188.08232026189538</v>
      </c>
      <c r="D390">
        <v>26.67</v>
      </c>
      <c r="N390" s="46">
        <v>43938</v>
      </c>
      <c r="O390" t="s">
        <v>485</v>
      </c>
    </row>
    <row r="391" spans="2:15">
      <c r="B391" s="46">
        <v>43941</v>
      </c>
      <c r="C391">
        <v>180.77104301990681</v>
      </c>
      <c r="D391">
        <v>35.770000000000003</v>
      </c>
      <c r="N391" s="46">
        <v>43941</v>
      </c>
      <c r="O391" t="s">
        <v>443</v>
      </c>
    </row>
    <row r="392" spans="2:15">
      <c r="B392" s="46">
        <v>43942</v>
      </c>
      <c r="C392">
        <v>179.61095626833236</v>
      </c>
      <c r="D392">
        <v>23.33</v>
      </c>
      <c r="N392" s="46">
        <v>43942</v>
      </c>
      <c r="O392" t="s">
        <v>486</v>
      </c>
    </row>
    <row r="393" spans="2:15">
      <c r="B393" s="46">
        <v>43943</v>
      </c>
      <c r="C393">
        <v>182.22303099141325</v>
      </c>
      <c r="D393">
        <v>25.16</v>
      </c>
      <c r="N393" s="46">
        <v>43943</v>
      </c>
      <c r="O393" t="s">
        <v>487</v>
      </c>
    </row>
    <row r="394" spans="2:15">
      <c r="B394" s="46">
        <v>43944</v>
      </c>
      <c r="C394">
        <v>180.5667927117222</v>
      </c>
      <c r="D394">
        <v>32.97</v>
      </c>
      <c r="N394" s="46">
        <v>43944</v>
      </c>
      <c r="O394" t="s">
        <v>488</v>
      </c>
    </row>
    <row r="395" spans="2:15">
      <c r="B395" s="46">
        <v>43945</v>
      </c>
      <c r="C395">
        <v>180.05504154116318</v>
      </c>
      <c r="D395">
        <v>18.05</v>
      </c>
      <c r="N395" s="46">
        <v>43945</v>
      </c>
      <c r="O395" t="s">
        <v>489</v>
      </c>
    </row>
    <row r="396" spans="2:15">
      <c r="B396" s="46">
        <v>43948</v>
      </c>
      <c r="C396">
        <v>179.85197837176207</v>
      </c>
      <c r="D396">
        <v>13.09</v>
      </c>
      <c r="N396" s="46">
        <v>43948</v>
      </c>
      <c r="O396" t="s">
        <v>490</v>
      </c>
    </row>
    <row r="397" spans="2:15">
      <c r="B397" s="46">
        <v>43949</v>
      </c>
      <c r="C397">
        <v>179.4539479868557</v>
      </c>
      <c r="D397">
        <v>17.8</v>
      </c>
      <c r="N397" s="46">
        <v>43949</v>
      </c>
      <c r="O397" t="s">
        <v>491</v>
      </c>
    </row>
    <row r="398" spans="2:15">
      <c r="B398" s="46">
        <v>43950</v>
      </c>
      <c r="C398">
        <v>182.12268159776033</v>
      </c>
      <c r="D398">
        <v>21.46</v>
      </c>
      <c r="N398" s="46">
        <v>43950</v>
      </c>
      <c r="O398" t="s">
        <v>492</v>
      </c>
    </row>
    <row r="399" spans="2:15">
      <c r="B399" s="46">
        <v>43951</v>
      </c>
      <c r="C399">
        <v>182.0509102545513</v>
      </c>
      <c r="D399">
        <v>30.17</v>
      </c>
      <c r="N399" s="46">
        <v>43951</v>
      </c>
      <c r="O399" t="s">
        <v>493</v>
      </c>
    </row>
    <row r="400" spans="2:15">
      <c r="B400" s="46">
        <v>43955</v>
      </c>
      <c r="C400">
        <v>174.12644150782194</v>
      </c>
      <c r="D400">
        <v>30.3</v>
      </c>
      <c r="N400" s="46">
        <v>43955</v>
      </c>
      <c r="O400" t="s">
        <v>494</v>
      </c>
    </row>
    <row r="401" spans="2:15">
      <c r="B401" s="46">
        <v>43956</v>
      </c>
      <c r="C401">
        <v>173.90156511408603</v>
      </c>
      <c r="D401">
        <v>17.71</v>
      </c>
      <c r="N401" s="46">
        <v>43956</v>
      </c>
      <c r="O401" t="s">
        <v>495</v>
      </c>
    </row>
    <row r="402" spans="2:15">
      <c r="B402" s="46">
        <v>43957</v>
      </c>
      <c r="C402">
        <v>163.99429672061436</v>
      </c>
      <c r="D402">
        <v>65.59</v>
      </c>
      <c r="N402" s="46">
        <v>43957</v>
      </c>
      <c r="O402" t="s">
        <v>496</v>
      </c>
    </row>
    <row r="403" spans="2:15">
      <c r="B403" s="46">
        <v>43958</v>
      </c>
      <c r="C403">
        <v>161.02850204486194</v>
      </c>
      <c r="D403">
        <v>24.25</v>
      </c>
      <c r="N403" s="46">
        <v>43958</v>
      </c>
      <c r="O403" t="s">
        <v>497</v>
      </c>
    </row>
    <row r="404" spans="2:15">
      <c r="B404" s="46">
        <v>43959</v>
      </c>
      <c r="C404">
        <v>158.27706537817969</v>
      </c>
      <c r="D404">
        <v>25.31</v>
      </c>
      <c r="N404" s="46">
        <v>43959</v>
      </c>
      <c r="O404" t="s">
        <v>498</v>
      </c>
    </row>
    <row r="405" spans="2:15">
      <c r="B405" s="46">
        <v>43962</v>
      </c>
      <c r="C405">
        <v>158.44794017677768</v>
      </c>
      <c r="D405">
        <v>18.100000000000001</v>
      </c>
      <c r="N405" s="46">
        <v>43962</v>
      </c>
      <c r="O405" t="s">
        <v>499</v>
      </c>
    </row>
    <row r="406" spans="2:15">
      <c r="B406" s="46">
        <v>43963</v>
      </c>
      <c r="C406">
        <v>164.98120283841641</v>
      </c>
      <c r="D406">
        <v>21.39</v>
      </c>
      <c r="N406" s="46">
        <v>43963</v>
      </c>
      <c r="O406" t="s">
        <v>500</v>
      </c>
    </row>
    <row r="407" spans="2:15">
      <c r="B407" s="46">
        <v>43964</v>
      </c>
      <c r="C407">
        <v>165.39652667293987</v>
      </c>
      <c r="D407">
        <v>20.02</v>
      </c>
      <c r="N407" s="46">
        <v>43964</v>
      </c>
      <c r="O407" t="s">
        <v>501</v>
      </c>
    </row>
    <row r="408" spans="2:15">
      <c r="B408" s="46">
        <v>43965</v>
      </c>
      <c r="C408">
        <v>163.81589014134371</v>
      </c>
      <c r="D408">
        <v>14.95</v>
      </c>
      <c r="N408" s="46">
        <v>43965</v>
      </c>
      <c r="O408" t="s">
        <v>502</v>
      </c>
    </row>
    <row r="409" spans="2:15">
      <c r="B409" s="46">
        <v>43966</v>
      </c>
      <c r="C409">
        <v>164.64143864519048</v>
      </c>
      <c r="D409">
        <v>14.95</v>
      </c>
      <c r="N409" s="46">
        <v>43966</v>
      </c>
      <c r="O409" t="s">
        <v>502</v>
      </c>
    </row>
    <row r="410" spans="2:15">
      <c r="B410" s="46">
        <v>43969</v>
      </c>
      <c r="C410">
        <v>164.74901150593098</v>
      </c>
      <c r="D410">
        <v>20.8</v>
      </c>
      <c r="N410" s="46">
        <v>43969</v>
      </c>
      <c r="O410" t="s">
        <v>503</v>
      </c>
    </row>
    <row r="411" spans="2:15">
      <c r="B411" s="46">
        <v>43970</v>
      </c>
      <c r="C411">
        <v>170.68786961545996</v>
      </c>
      <c r="D411">
        <v>20.14</v>
      </c>
      <c r="N411" s="46">
        <v>43970</v>
      </c>
      <c r="O411" t="s">
        <v>504</v>
      </c>
    </row>
    <row r="412" spans="2:15">
      <c r="B412" s="46">
        <v>43971</v>
      </c>
      <c r="C412">
        <v>175.69852033354226</v>
      </c>
      <c r="D412">
        <v>25.32</v>
      </c>
      <c r="N412" s="46">
        <v>43971</v>
      </c>
      <c r="O412" t="s">
        <v>505</v>
      </c>
    </row>
    <row r="413" spans="2:15">
      <c r="B413" s="46">
        <v>43972</v>
      </c>
      <c r="C413">
        <v>188.80820503801644</v>
      </c>
      <c r="D413">
        <v>58.38</v>
      </c>
      <c r="N413" s="46">
        <v>43972</v>
      </c>
      <c r="O413" t="s">
        <v>506</v>
      </c>
    </row>
    <row r="414" spans="2:15">
      <c r="B414" s="46">
        <v>43973</v>
      </c>
      <c r="C414">
        <v>186.37571984933919</v>
      </c>
      <c r="D414">
        <v>39.01</v>
      </c>
      <c r="N414" s="46">
        <v>43973</v>
      </c>
      <c r="O414" t="s">
        <v>507</v>
      </c>
    </row>
    <row r="415" spans="2:15">
      <c r="B415" s="46">
        <v>43977</v>
      </c>
      <c r="C415">
        <v>191.64499788560684</v>
      </c>
      <c r="D415">
        <v>53.24</v>
      </c>
      <c r="N415" s="46">
        <v>43977</v>
      </c>
      <c r="O415" t="s">
        <v>508</v>
      </c>
    </row>
    <row r="416" spans="2:15">
      <c r="B416" s="46">
        <v>43978</v>
      </c>
      <c r="C416">
        <v>192.14558065164499</v>
      </c>
      <c r="D416">
        <v>24.55</v>
      </c>
      <c r="N416" s="46">
        <v>43978</v>
      </c>
      <c r="O416" t="s">
        <v>509</v>
      </c>
    </row>
    <row r="417" spans="2:15">
      <c r="B417" s="46">
        <v>43979</v>
      </c>
      <c r="C417">
        <v>190.66487186000509</v>
      </c>
      <c r="D417">
        <v>24.58</v>
      </c>
      <c r="N417" s="46">
        <v>43979</v>
      </c>
      <c r="O417" t="s">
        <v>510</v>
      </c>
    </row>
    <row r="418" spans="2:15">
      <c r="B418" s="46">
        <v>43980</v>
      </c>
      <c r="C418">
        <v>197.28075445518621</v>
      </c>
      <c r="D418">
        <v>35.840000000000003</v>
      </c>
      <c r="N418" s="46">
        <v>43980</v>
      </c>
      <c r="O418" t="s">
        <v>511</v>
      </c>
    </row>
    <row r="419" spans="2:15">
      <c r="B419" s="46">
        <v>43983</v>
      </c>
      <c r="C419">
        <v>200.5175161623817</v>
      </c>
      <c r="D419">
        <v>28.51</v>
      </c>
      <c r="N419" s="46">
        <v>43983</v>
      </c>
      <c r="O419" t="s">
        <v>512</v>
      </c>
    </row>
    <row r="420" spans="2:15">
      <c r="B420" s="46">
        <v>43984</v>
      </c>
      <c r="C420">
        <v>197.28255162101746</v>
      </c>
      <c r="D420">
        <v>22.63</v>
      </c>
      <c r="N420" s="46">
        <v>43984</v>
      </c>
      <c r="O420" t="s">
        <v>513</v>
      </c>
    </row>
    <row r="421" spans="2:15">
      <c r="B421" s="46">
        <v>43985</v>
      </c>
      <c r="C421">
        <v>196.70550775421711</v>
      </c>
      <c r="D421">
        <v>18.98</v>
      </c>
      <c r="N421" s="46">
        <v>43985</v>
      </c>
      <c r="O421" t="s">
        <v>514</v>
      </c>
    </row>
    <row r="422" spans="2:15">
      <c r="B422" s="46">
        <v>43986</v>
      </c>
      <c r="C422">
        <v>200.11497987852127</v>
      </c>
      <c r="D422">
        <v>22</v>
      </c>
      <c r="N422" s="46">
        <v>43986</v>
      </c>
      <c r="O422" t="s">
        <v>515</v>
      </c>
    </row>
    <row r="423" spans="2:15">
      <c r="B423" s="46">
        <v>43987</v>
      </c>
      <c r="C423">
        <v>200.00140000980005</v>
      </c>
      <c r="D423">
        <v>14.63</v>
      </c>
      <c r="N423" s="46">
        <v>43987</v>
      </c>
      <c r="O423" t="s">
        <v>516</v>
      </c>
    </row>
    <row r="424" spans="2:15">
      <c r="B424" s="46">
        <v>43990</v>
      </c>
      <c r="C424">
        <v>197.67332545240339</v>
      </c>
      <c r="D424">
        <v>19.559999999999999</v>
      </c>
      <c r="N424" s="46">
        <v>43990</v>
      </c>
      <c r="O424" t="s">
        <v>517</v>
      </c>
    </row>
    <row r="425" spans="2:15">
      <c r="B425" s="46">
        <v>43991</v>
      </c>
      <c r="C425">
        <v>198.49146486701071</v>
      </c>
      <c r="D425">
        <v>39.909999999999997</v>
      </c>
      <c r="N425" s="46">
        <v>43991</v>
      </c>
      <c r="O425" t="s">
        <v>518</v>
      </c>
    </row>
    <row r="426" spans="2:15">
      <c r="B426" s="46">
        <v>43992</v>
      </c>
      <c r="C426">
        <v>199.04442675605085</v>
      </c>
      <c r="D426">
        <v>27.2</v>
      </c>
      <c r="N426" s="46">
        <v>43992</v>
      </c>
      <c r="O426" t="s">
        <v>519</v>
      </c>
    </row>
    <row r="427" spans="2:15">
      <c r="B427" s="46">
        <v>43993</v>
      </c>
      <c r="C427">
        <v>194.29682553495394</v>
      </c>
      <c r="D427">
        <v>19.850000000000001</v>
      </c>
      <c r="N427" s="46">
        <v>43993</v>
      </c>
      <c r="O427" t="s">
        <v>520</v>
      </c>
    </row>
    <row r="428" spans="2:15">
      <c r="B428" s="46">
        <v>43994</v>
      </c>
      <c r="C428">
        <v>193.90349026282473</v>
      </c>
      <c r="D428">
        <v>22.56</v>
      </c>
      <c r="N428" s="46">
        <v>43994</v>
      </c>
      <c r="O428" t="s">
        <v>521</v>
      </c>
    </row>
    <row r="429" spans="2:15">
      <c r="B429" s="46">
        <v>43997</v>
      </c>
      <c r="C429">
        <v>187.26479361859202</v>
      </c>
      <c r="D429">
        <v>24.46</v>
      </c>
      <c r="N429" s="46">
        <v>43997</v>
      </c>
      <c r="O429" t="s">
        <v>522</v>
      </c>
    </row>
    <row r="430" spans="2:15">
      <c r="B430" s="46">
        <v>43998</v>
      </c>
      <c r="C430">
        <v>185.02183257624398</v>
      </c>
      <c r="D430">
        <v>27.64</v>
      </c>
      <c r="N430" s="46">
        <v>43998</v>
      </c>
      <c r="O430" t="s">
        <v>523</v>
      </c>
    </row>
    <row r="431" spans="2:15">
      <c r="B431" s="46">
        <v>43999</v>
      </c>
      <c r="C431">
        <v>181.23715361649138</v>
      </c>
      <c r="D431">
        <v>24.03</v>
      </c>
      <c r="N431" s="46">
        <v>43999</v>
      </c>
      <c r="O431" t="s">
        <v>524</v>
      </c>
    </row>
    <row r="432" spans="2:15">
      <c r="B432" s="46">
        <v>44000</v>
      </c>
      <c r="C432">
        <v>186.54440976588978</v>
      </c>
      <c r="D432">
        <v>28.89</v>
      </c>
      <c r="N432" s="46">
        <v>44000</v>
      </c>
      <c r="O432" t="s">
        <v>525</v>
      </c>
    </row>
    <row r="433" spans="2:15">
      <c r="B433" s="46">
        <v>44001</v>
      </c>
      <c r="C433">
        <v>184.07521830490779</v>
      </c>
      <c r="D433">
        <v>30.53</v>
      </c>
      <c r="N433" s="46">
        <v>44001</v>
      </c>
      <c r="O433" t="s">
        <v>526</v>
      </c>
    </row>
    <row r="434" spans="2:15">
      <c r="B434" s="46">
        <v>44004</v>
      </c>
      <c r="C434">
        <v>184.990380500214</v>
      </c>
      <c r="D434">
        <v>31.4</v>
      </c>
      <c r="N434" s="46">
        <v>44004</v>
      </c>
      <c r="O434" t="s">
        <v>527</v>
      </c>
    </row>
    <row r="435" spans="2:15">
      <c r="B435" s="46">
        <v>44005</v>
      </c>
      <c r="C435">
        <v>185.84145129324051</v>
      </c>
      <c r="D435">
        <v>26.55</v>
      </c>
      <c r="N435" s="46">
        <v>44005</v>
      </c>
      <c r="O435" t="s">
        <v>528</v>
      </c>
    </row>
    <row r="436" spans="2:15">
      <c r="B436" s="46">
        <v>44006</v>
      </c>
      <c r="C436">
        <v>191.78805245905571</v>
      </c>
      <c r="D436">
        <v>54.65</v>
      </c>
      <c r="N436" s="46">
        <v>44006</v>
      </c>
      <c r="O436" t="s">
        <v>529</v>
      </c>
    </row>
    <row r="437" spans="2:15">
      <c r="B437" s="46">
        <v>44007</v>
      </c>
      <c r="C437">
        <v>201.99213619926957</v>
      </c>
      <c r="D437">
        <v>75.58</v>
      </c>
      <c r="N437" s="46">
        <v>44007</v>
      </c>
      <c r="O437" t="s">
        <v>530</v>
      </c>
    </row>
    <row r="438" spans="2:15">
      <c r="B438" s="46">
        <v>44008</v>
      </c>
      <c r="C438">
        <v>195.26658590579387</v>
      </c>
      <c r="D438">
        <v>71.959999999999994</v>
      </c>
      <c r="N438" s="46">
        <v>44008</v>
      </c>
      <c r="O438" t="s">
        <v>531</v>
      </c>
    </row>
    <row r="439" spans="2:15">
      <c r="B439" s="46">
        <v>44011</v>
      </c>
      <c r="C439">
        <v>197.22929092445293</v>
      </c>
      <c r="D439">
        <v>91.5</v>
      </c>
      <c r="N439" s="46">
        <v>44011</v>
      </c>
      <c r="O439" t="s">
        <v>532</v>
      </c>
    </row>
    <row r="440" spans="2:15">
      <c r="B440" s="46">
        <v>44012</v>
      </c>
      <c r="C440">
        <v>194.67569719202936</v>
      </c>
      <c r="D440">
        <v>41.22</v>
      </c>
      <c r="N440" s="46">
        <v>44012</v>
      </c>
      <c r="O440" t="s">
        <v>533</v>
      </c>
    </row>
    <row r="441" spans="2:15">
      <c r="B441" s="46">
        <v>44013</v>
      </c>
      <c r="C441">
        <v>202.81400686109092</v>
      </c>
      <c r="D441">
        <v>44.3</v>
      </c>
      <c r="N441" s="46">
        <v>44013</v>
      </c>
      <c r="O441" t="s">
        <v>534</v>
      </c>
    </row>
    <row r="442" spans="2:15">
      <c r="B442" s="46">
        <v>44014</v>
      </c>
      <c r="C442">
        <v>205.82015607736875</v>
      </c>
      <c r="D442">
        <v>39.32</v>
      </c>
      <c r="N442" s="46">
        <v>44014</v>
      </c>
      <c r="O442" t="s">
        <v>535</v>
      </c>
    </row>
    <row r="443" spans="2:15">
      <c r="B443" s="46">
        <v>44015</v>
      </c>
      <c r="C443">
        <v>207.53277477969328</v>
      </c>
      <c r="D443">
        <v>37.9</v>
      </c>
      <c r="N443" s="46">
        <v>44015</v>
      </c>
      <c r="O443" t="s">
        <v>536</v>
      </c>
    </row>
    <row r="444" spans="2:15">
      <c r="B444" s="46">
        <v>44018</v>
      </c>
      <c r="C444">
        <v>199.87455320834673</v>
      </c>
      <c r="D444">
        <v>34.71</v>
      </c>
      <c r="N444" s="46">
        <v>44018</v>
      </c>
      <c r="O444" t="s">
        <v>537</v>
      </c>
    </row>
    <row r="445" spans="2:15">
      <c r="B445" s="46">
        <v>44019</v>
      </c>
      <c r="C445">
        <v>194.30401651659162</v>
      </c>
      <c r="D445">
        <v>31.28</v>
      </c>
      <c r="N445" s="46">
        <v>44019</v>
      </c>
      <c r="O445" t="s">
        <v>538</v>
      </c>
    </row>
    <row r="446" spans="2:15">
      <c r="B446" s="46">
        <v>44020</v>
      </c>
      <c r="C446">
        <v>196.27919440539304</v>
      </c>
      <c r="D446">
        <v>21.28</v>
      </c>
      <c r="N446" s="46">
        <v>44020</v>
      </c>
      <c r="O446" t="s">
        <v>539</v>
      </c>
    </row>
    <row r="447" spans="2:15">
      <c r="B447" s="46">
        <v>44021</v>
      </c>
      <c r="C447">
        <v>195.45840471140258</v>
      </c>
      <c r="D447">
        <v>18.77</v>
      </c>
      <c r="N447" s="46">
        <v>44021</v>
      </c>
      <c r="O447" t="s">
        <v>540</v>
      </c>
    </row>
    <row r="448" spans="2:15">
      <c r="B448" s="46">
        <v>44022</v>
      </c>
      <c r="C448">
        <v>194.36088420951572</v>
      </c>
      <c r="D448">
        <v>16.190000000000001</v>
      </c>
      <c r="N448" s="46">
        <v>44022</v>
      </c>
      <c r="O448" t="s">
        <v>541</v>
      </c>
    </row>
    <row r="449" spans="2:15">
      <c r="B449" s="46">
        <v>44025</v>
      </c>
      <c r="C449">
        <v>197.5174096274115</v>
      </c>
      <c r="D449">
        <v>20.3</v>
      </c>
      <c r="N449" s="46">
        <v>44025</v>
      </c>
      <c r="O449" t="s">
        <v>542</v>
      </c>
    </row>
    <row r="450" spans="2:15">
      <c r="B450" s="46">
        <v>44026</v>
      </c>
      <c r="C450">
        <v>195.91645698238653</v>
      </c>
      <c r="D450">
        <v>18.48</v>
      </c>
      <c r="N450" s="46">
        <v>44026</v>
      </c>
      <c r="O450" t="s">
        <v>543</v>
      </c>
    </row>
    <row r="451" spans="2:15">
      <c r="B451" s="46">
        <v>44027</v>
      </c>
      <c r="C451">
        <v>198.67158996263532</v>
      </c>
      <c r="D451">
        <v>23.78</v>
      </c>
      <c r="N451" s="46">
        <v>44027</v>
      </c>
      <c r="O451" t="s">
        <v>544</v>
      </c>
    </row>
    <row r="452" spans="2:15">
      <c r="B452" s="46">
        <v>44028</v>
      </c>
      <c r="C452">
        <v>193.89731094387031</v>
      </c>
      <c r="D452">
        <v>22.14</v>
      </c>
      <c r="N452" s="46">
        <v>44028</v>
      </c>
      <c r="O452" t="s">
        <v>545</v>
      </c>
    </row>
    <row r="453" spans="2:15">
      <c r="B453" s="46">
        <v>44029</v>
      </c>
      <c r="C453">
        <v>194.0480595194048</v>
      </c>
      <c r="D453">
        <v>14.88</v>
      </c>
      <c r="N453" s="46">
        <v>44029</v>
      </c>
      <c r="O453" t="s">
        <v>546</v>
      </c>
    </row>
    <row r="454" spans="2:15">
      <c r="B454" s="46">
        <v>44032</v>
      </c>
      <c r="C454">
        <v>192.7134899442961</v>
      </c>
      <c r="D454">
        <v>18.920000000000002</v>
      </c>
      <c r="N454" s="46">
        <v>44032</v>
      </c>
      <c r="O454" t="s">
        <v>547</v>
      </c>
    </row>
    <row r="455" spans="2:15">
      <c r="B455" s="46">
        <v>44033</v>
      </c>
      <c r="C455">
        <v>192.2544218517026</v>
      </c>
      <c r="D455">
        <v>28.01</v>
      </c>
      <c r="N455" s="46">
        <v>44033</v>
      </c>
      <c r="O455" t="s">
        <v>548</v>
      </c>
    </row>
    <row r="456" spans="2:15">
      <c r="B456" s="46">
        <v>44034</v>
      </c>
      <c r="C456">
        <v>196.50598265988421</v>
      </c>
      <c r="D456">
        <v>32.57</v>
      </c>
      <c r="N456" s="46">
        <v>44034</v>
      </c>
      <c r="O456" t="s">
        <v>549</v>
      </c>
    </row>
    <row r="457" spans="2:15">
      <c r="B457" s="46">
        <v>44035</v>
      </c>
      <c r="C457">
        <v>200.65766123347973</v>
      </c>
      <c r="D457">
        <v>31.49</v>
      </c>
      <c r="N457" s="46">
        <v>44035</v>
      </c>
      <c r="O457" t="s">
        <v>550</v>
      </c>
    </row>
    <row r="458" spans="2:15">
      <c r="B458" s="46">
        <v>44036</v>
      </c>
      <c r="C458">
        <v>199.61097860382321</v>
      </c>
      <c r="D458">
        <v>60.19</v>
      </c>
      <c r="N458" s="46">
        <v>44036</v>
      </c>
      <c r="O458" t="s">
        <v>551</v>
      </c>
    </row>
    <row r="459" spans="2:15">
      <c r="B459" s="46">
        <v>44039</v>
      </c>
      <c r="C459">
        <v>196.4314290286446</v>
      </c>
      <c r="D459">
        <v>22.65</v>
      </c>
      <c r="N459" s="46">
        <v>44039</v>
      </c>
      <c r="O459" t="s">
        <v>552</v>
      </c>
    </row>
    <row r="460" spans="2:15">
      <c r="B460" s="46">
        <v>44040</v>
      </c>
      <c r="C460">
        <v>195.40996590826134</v>
      </c>
      <c r="D460">
        <v>19.29</v>
      </c>
      <c r="N460" s="46">
        <v>44040</v>
      </c>
      <c r="O460" t="s">
        <v>553</v>
      </c>
    </row>
    <row r="461" spans="2:15">
      <c r="B461" s="46">
        <v>44041</v>
      </c>
      <c r="C461">
        <v>196.68682198292711</v>
      </c>
      <c r="D461">
        <v>14.83</v>
      </c>
      <c r="N461" s="46">
        <v>44041</v>
      </c>
      <c r="O461" t="s">
        <v>554</v>
      </c>
    </row>
    <row r="462" spans="2:15">
      <c r="B462" s="46">
        <v>44042</v>
      </c>
      <c r="C462">
        <v>193.38287508876508</v>
      </c>
      <c r="D462">
        <v>16.32</v>
      </c>
      <c r="N462" s="46">
        <v>44042</v>
      </c>
      <c r="O462" t="s">
        <v>555</v>
      </c>
    </row>
    <row r="463" spans="2:15">
      <c r="B463" s="46">
        <v>44043</v>
      </c>
      <c r="C463">
        <v>194.14204017635279</v>
      </c>
      <c r="D463">
        <v>16.649999999999999</v>
      </c>
      <c r="N463" s="46">
        <v>44043</v>
      </c>
      <c r="O463" t="s">
        <v>387</v>
      </c>
    </row>
    <row r="464" spans="2:15">
      <c r="B464" s="46">
        <v>44046</v>
      </c>
      <c r="C464">
        <v>192.61540923273861</v>
      </c>
      <c r="D464">
        <v>13.27</v>
      </c>
      <c r="N464" s="46">
        <v>44046</v>
      </c>
      <c r="O464" t="s">
        <v>138</v>
      </c>
    </row>
    <row r="465" spans="2:15">
      <c r="B465" s="46">
        <v>44047</v>
      </c>
      <c r="C465">
        <v>193.63934983575905</v>
      </c>
      <c r="D465">
        <v>17.190000000000001</v>
      </c>
      <c r="N465" s="46">
        <v>44047</v>
      </c>
      <c r="O465" t="s">
        <v>556</v>
      </c>
    </row>
    <row r="466" spans="2:15">
      <c r="B466" s="46">
        <v>44048</v>
      </c>
      <c r="C466">
        <v>192.80848357327724</v>
      </c>
      <c r="D466">
        <v>48.77</v>
      </c>
      <c r="N466" s="46">
        <v>44048</v>
      </c>
      <c r="O466" t="s">
        <v>557</v>
      </c>
    </row>
    <row r="467" spans="2:15">
      <c r="B467" s="46">
        <v>44049</v>
      </c>
      <c r="C467">
        <v>195.32421720332914</v>
      </c>
      <c r="D467">
        <v>17.89</v>
      </c>
      <c r="N467" s="46">
        <v>44049</v>
      </c>
      <c r="O467" t="s">
        <v>284</v>
      </c>
    </row>
    <row r="468" spans="2:15">
      <c r="B468" s="46">
        <v>44050</v>
      </c>
      <c r="C468">
        <v>196.04294245407169</v>
      </c>
      <c r="D468">
        <v>20.91</v>
      </c>
      <c r="N468" s="46">
        <v>44050</v>
      </c>
      <c r="O468" t="s">
        <v>558</v>
      </c>
    </row>
    <row r="469" spans="2:15">
      <c r="B469" s="46">
        <v>44053</v>
      </c>
      <c r="C469">
        <v>198.82156851570224</v>
      </c>
      <c r="D469">
        <v>16.47</v>
      </c>
      <c r="N469" s="46">
        <v>44053</v>
      </c>
      <c r="O469" t="s">
        <v>559</v>
      </c>
    </row>
    <row r="470" spans="2:15">
      <c r="B470" s="46">
        <v>44054</v>
      </c>
      <c r="C470">
        <v>203.00716548808202</v>
      </c>
      <c r="D470">
        <v>55.14</v>
      </c>
      <c r="N470" s="46">
        <v>44054</v>
      </c>
      <c r="O470" t="s">
        <v>560</v>
      </c>
    </row>
    <row r="471" spans="2:15">
      <c r="B471" s="46">
        <v>44055</v>
      </c>
      <c r="C471">
        <v>204.18836126340798</v>
      </c>
      <c r="D471">
        <v>21.29</v>
      </c>
      <c r="N471" s="46">
        <v>44055</v>
      </c>
      <c r="O471" t="s">
        <v>561</v>
      </c>
    </row>
    <row r="472" spans="2:15">
      <c r="B472" s="46">
        <v>44056</v>
      </c>
      <c r="C472">
        <v>201.47719942192194</v>
      </c>
      <c r="D472">
        <v>22.7</v>
      </c>
      <c r="N472" s="46">
        <v>44056</v>
      </c>
      <c r="O472" t="s">
        <v>562</v>
      </c>
    </row>
    <row r="473" spans="2:15">
      <c r="B473" s="46">
        <v>44057</v>
      </c>
      <c r="C473">
        <v>196.4493087765029</v>
      </c>
      <c r="D473">
        <v>28.75</v>
      </c>
      <c r="N473" s="46">
        <v>44057</v>
      </c>
      <c r="O473" t="s">
        <v>563</v>
      </c>
    </row>
    <row r="474" spans="2:15">
      <c r="B474" s="46">
        <v>44060</v>
      </c>
      <c r="C474">
        <v>198.72615286165663</v>
      </c>
      <c r="D474">
        <v>11.74</v>
      </c>
      <c r="N474" s="46">
        <v>44060</v>
      </c>
      <c r="O474" t="s">
        <v>564</v>
      </c>
    </row>
    <row r="475" spans="2:15">
      <c r="B475" s="46">
        <v>44061</v>
      </c>
      <c r="C475">
        <v>198.55198551985521</v>
      </c>
      <c r="D475">
        <v>12.49</v>
      </c>
      <c r="N475" s="46">
        <v>44061</v>
      </c>
      <c r="O475" t="s">
        <v>565</v>
      </c>
    </row>
    <row r="476" spans="2:15">
      <c r="B476" s="46">
        <v>44062</v>
      </c>
      <c r="C476">
        <v>198.45099225496128</v>
      </c>
      <c r="D476">
        <v>15.47</v>
      </c>
      <c r="N476" s="46">
        <v>44062</v>
      </c>
      <c r="O476" t="s">
        <v>566</v>
      </c>
    </row>
    <row r="477" spans="2:15">
      <c r="B477" s="46">
        <v>44063</v>
      </c>
      <c r="C477">
        <v>195.826240716256</v>
      </c>
      <c r="D477">
        <v>16.91</v>
      </c>
      <c r="N477" s="46">
        <v>44063</v>
      </c>
      <c r="O477" t="s">
        <v>567</v>
      </c>
    </row>
    <row r="478" spans="2:15">
      <c r="B478" s="46">
        <v>44064</v>
      </c>
      <c r="C478">
        <v>196.7899637118507</v>
      </c>
      <c r="D478">
        <v>17.23</v>
      </c>
      <c r="N478" s="46">
        <v>44064</v>
      </c>
      <c r="O478" t="s">
        <v>568</v>
      </c>
    </row>
    <row r="479" spans="2:15">
      <c r="B479" s="46">
        <v>44067</v>
      </c>
      <c r="C479">
        <v>196.70098350491753</v>
      </c>
      <c r="D479">
        <v>14.74</v>
      </c>
      <c r="N479" s="46">
        <v>44067</v>
      </c>
      <c r="O479" t="s">
        <v>346</v>
      </c>
    </row>
    <row r="480" spans="2:15">
      <c r="B480" s="46">
        <v>44068</v>
      </c>
      <c r="C480">
        <v>195.4128972512186</v>
      </c>
      <c r="D480">
        <v>15.2</v>
      </c>
      <c r="N480" s="46">
        <v>44068</v>
      </c>
      <c r="O480" t="s">
        <v>569</v>
      </c>
    </row>
    <row r="481" spans="2:15">
      <c r="B481" s="46">
        <v>44069</v>
      </c>
      <c r="C481">
        <v>194.9544839531309</v>
      </c>
      <c r="D481">
        <v>22.63</v>
      </c>
      <c r="N481" s="46">
        <v>44069</v>
      </c>
      <c r="O481" t="s">
        <v>513</v>
      </c>
    </row>
    <row r="482" spans="2:15">
      <c r="B482" s="46">
        <v>44070</v>
      </c>
      <c r="C482">
        <v>194.25699325175708</v>
      </c>
      <c r="D482">
        <v>47.21</v>
      </c>
      <c r="N482" s="46">
        <v>44070</v>
      </c>
      <c r="O482" t="s">
        <v>570</v>
      </c>
    </row>
    <row r="483" spans="2:15">
      <c r="B483" s="46">
        <v>44071</v>
      </c>
      <c r="C483">
        <v>195.53689902776514</v>
      </c>
      <c r="D483">
        <v>34.65</v>
      </c>
      <c r="N483" s="46">
        <v>44071</v>
      </c>
      <c r="O483" t="s">
        <v>571</v>
      </c>
    </row>
    <row r="484" spans="2:15">
      <c r="B484" s="46">
        <v>44074</v>
      </c>
      <c r="C484">
        <v>191.1435807364079</v>
      </c>
      <c r="D484">
        <v>97</v>
      </c>
      <c r="N484" s="46">
        <v>44074</v>
      </c>
      <c r="O484" t="s">
        <v>572</v>
      </c>
    </row>
    <row r="485" spans="2:15">
      <c r="B485" s="46">
        <v>44075</v>
      </c>
      <c r="C485">
        <v>190.20893982017154</v>
      </c>
      <c r="D485">
        <v>39.78</v>
      </c>
      <c r="N485" s="46">
        <v>44075</v>
      </c>
      <c r="O485" t="s">
        <v>573</v>
      </c>
    </row>
    <row r="486" spans="2:15">
      <c r="B486" s="46">
        <v>44076</v>
      </c>
      <c r="C486">
        <v>191.33851968881868</v>
      </c>
      <c r="D486">
        <v>20.59</v>
      </c>
      <c r="N486" s="46">
        <v>44076</v>
      </c>
      <c r="O486" t="s">
        <v>370</v>
      </c>
    </row>
    <row r="487" spans="2:15">
      <c r="B487" s="46">
        <v>44077</v>
      </c>
      <c r="C487">
        <v>191.59750923237996</v>
      </c>
      <c r="D487">
        <v>15.69</v>
      </c>
      <c r="N487" s="46">
        <v>44077</v>
      </c>
      <c r="O487" t="s">
        <v>574</v>
      </c>
    </row>
    <row r="488" spans="2:15">
      <c r="B488" s="46">
        <v>44078</v>
      </c>
      <c r="C488">
        <v>186.74780743870431</v>
      </c>
      <c r="D488">
        <v>41.39</v>
      </c>
      <c r="N488" s="46">
        <v>44078</v>
      </c>
      <c r="O488" t="s">
        <v>575</v>
      </c>
    </row>
    <row r="489" spans="2:15">
      <c r="B489" s="46">
        <v>44081</v>
      </c>
      <c r="C489">
        <v>189.0756092464072</v>
      </c>
      <c r="D489">
        <v>32.659999999999997</v>
      </c>
      <c r="N489" s="46">
        <v>44081</v>
      </c>
      <c r="O489" t="s">
        <v>576</v>
      </c>
    </row>
    <row r="490" spans="2:15">
      <c r="B490" s="46">
        <v>44082</v>
      </c>
      <c r="C490">
        <v>188.15940797039852</v>
      </c>
      <c r="D490">
        <v>25.59</v>
      </c>
      <c r="N490" s="46">
        <v>44082</v>
      </c>
      <c r="O490" t="s">
        <v>577</v>
      </c>
    </row>
    <row r="491" spans="2:15">
      <c r="B491" s="46">
        <v>44083</v>
      </c>
      <c r="C491">
        <v>183.84246761001793</v>
      </c>
      <c r="D491">
        <v>27.83</v>
      </c>
      <c r="N491" s="46">
        <v>44083</v>
      </c>
      <c r="O491" t="s">
        <v>578</v>
      </c>
    </row>
    <row r="492" spans="2:15">
      <c r="B492" s="46">
        <v>44084</v>
      </c>
      <c r="C492">
        <v>184.88890666560008</v>
      </c>
      <c r="D492">
        <v>17.79</v>
      </c>
      <c r="N492" s="46">
        <v>44084</v>
      </c>
      <c r="O492" t="s">
        <v>579</v>
      </c>
    </row>
    <row r="493" spans="2:15">
      <c r="B493" s="46">
        <v>44085</v>
      </c>
      <c r="C493">
        <v>183.95938192847834</v>
      </c>
      <c r="D493">
        <v>19.260000000000002</v>
      </c>
      <c r="N493" s="46">
        <v>44085</v>
      </c>
      <c r="O493" t="s">
        <v>580</v>
      </c>
    </row>
    <row r="494" spans="2:15">
      <c r="B494" s="46">
        <v>44088</v>
      </c>
      <c r="C494">
        <v>183.35605074967472</v>
      </c>
      <c r="D494">
        <v>30.99</v>
      </c>
      <c r="N494" s="46">
        <v>44088</v>
      </c>
      <c r="O494" t="s">
        <v>581</v>
      </c>
    </row>
    <row r="495" spans="2:15">
      <c r="B495" s="46">
        <v>44089</v>
      </c>
      <c r="C495">
        <v>181.81545431361667</v>
      </c>
      <c r="D495">
        <v>30.77</v>
      </c>
      <c r="N495" s="46">
        <v>44089</v>
      </c>
      <c r="O495" t="s">
        <v>582</v>
      </c>
    </row>
    <row r="496" spans="2:15">
      <c r="B496" s="46">
        <v>44090</v>
      </c>
      <c r="C496">
        <v>180.66138166704505</v>
      </c>
      <c r="D496">
        <v>50.65</v>
      </c>
      <c r="N496" s="46">
        <v>44090</v>
      </c>
      <c r="O496" t="s">
        <v>583</v>
      </c>
    </row>
    <row r="497" spans="2:15">
      <c r="B497" s="46">
        <v>44091</v>
      </c>
      <c r="C497">
        <v>178.62018408080112</v>
      </c>
      <c r="D497">
        <v>33.94</v>
      </c>
      <c r="N497" s="46">
        <v>44091</v>
      </c>
      <c r="O497" t="s">
        <v>584</v>
      </c>
    </row>
    <row r="498" spans="2:15">
      <c r="B498" s="46">
        <v>44092</v>
      </c>
      <c r="C498">
        <v>179.09498534041049</v>
      </c>
      <c r="D498">
        <v>29.78</v>
      </c>
      <c r="N498" s="46">
        <v>44092</v>
      </c>
      <c r="O498" t="s">
        <v>585</v>
      </c>
    </row>
    <row r="499" spans="2:15">
      <c r="B499" s="46">
        <v>44095</v>
      </c>
      <c r="C499">
        <v>175.78287139695124</v>
      </c>
      <c r="D499">
        <v>23.89</v>
      </c>
      <c r="N499" s="46">
        <v>44095</v>
      </c>
      <c r="O499" t="s">
        <v>586</v>
      </c>
    </row>
    <row r="500" spans="2:15">
      <c r="B500" s="46">
        <v>44096</v>
      </c>
      <c r="C500">
        <v>174.21533094912351</v>
      </c>
      <c r="D500">
        <v>18.53</v>
      </c>
      <c r="N500" s="46">
        <v>44096</v>
      </c>
      <c r="O500" t="s">
        <v>587</v>
      </c>
    </row>
    <row r="501" spans="2:15">
      <c r="B501" s="46">
        <v>44097</v>
      </c>
      <c r="C501">
        <v>172.51690665685237</v>
      </c>
      <c r="D501">
        <v>61.79</v>
      </c>
      <c r="N501" s="46">
        <v>44097</v>
      </c>
      <c r="O501" t="s">
        <v>588</v>
      </c>
    </row>
    <row r="502" spans="2:15">
      <c r="B502" s="46">
        <v>44098</v>
      </c>
      <c r="C502">
        <v>166.60747958045528</v>
      </c>
      <c r="D502">
        <v>31.49</v>
      </c>
      <c r="N502" s="46">
        <v>44098</v>
      </c>
      <c r="O502" t="s">
        <v>550</v>
      </c>
    </row>
    <row r="503" spans="2:15">
      <c r="B503" s="46">
        <v>44099</v>
      </c>
      <c r="C503">
        <v>170.70698184057619</v>
      </c>
      <c r="D503">
        <v>26.63</v>
      </c>
      <c r="N503" s="46">
        <v>44099</v>
      </c>
      <c r="O503" t="s">
        <v>589</v>
      </c>
    </row>
    <row r="504" spans="2:15">
      <c r="B504" s="46">
        <v>44102</v>
      </c>
      <c r="C504">
        <v>173.27418214686014</v>
      </c>
      <c r="D504">
        <v>23.19</v>
      </c>
      <c r="N504" s="46">
        <v>44102</v>
      </c>
      <c r="O504" t="s">
        <v>590</v>
      </c>
    </row>
    <row r="505" spans="2:15">
      <c r="B505" s="46">
        <v>44103</v>
      </c>
      <c r="C505">
        <v>169.43812357780502</v>
      </c>
      <c r="D505">
        <v>25.62</v>
      </c>
      <c r="N505" s="46">
        <v>44103</v>
      </c>
      <c r="O505" t="s">
        <v>591</v>
      </c>
    </row>
    <row r="506" spans="2:15">
      <c r="B506" s="46">
        <v>44104</v>
      </c>
      <c r="C506">
        <v>171.67665197533137</v>
      </c>
      <c r="D506">
        <v>18.48</v>
      </c>
      <c r="N506" s="46">
        <v>44104</v>
      </c>
      <c r="O506" t="s">
        <v>543</v>
      </c>
    </row>
    <row r="507" spans="2:15">
      <c r="B507" s="46">
        <v>44105</v>
      </c>
      <c r="C507">
        <v>170.85854292714635</v>
      </c>
      <c r="D507">
        <v>19.760000000000002</v>
      </c>
      <c r="N507" s="46">
        <v>44105</v>
      </c>
      <c r="O507" t="s">
        <v>592</v>
      </c>
    </row>
    <row r="508" spans="2:15">
      <c r="B508" s="46">
        <v>44109</v>
      </c>
      <c r="C508">
        <v>169.26591099563359</v>
      </c>
      <c r="D508">
        <v>24.3</v>
      </c>
      <c r="N508" s="46">
        <v>44109</v>
      </c>
      <c r="O508" t="s">
        <v>593</v>
      </c>
    </row>
    <row r="509" spans="2:15">
      <c r="B509" s="46">
        <v>44110</v>
      </c>
      <c r="C509">
        <v>169.89354404532628</v>
      </c>
      <c r="D509">
        <v>21.89</v>
      </c>
      <c r="N509" s="46">
        <v>44110</v>
      </c>
      <c r="O509" t="s">
        <v>594</v>
      </c>
    </row>
    <row r="510" spans="2:15">
      <c r="B510" s="46">
        <v>44111</v>
      </c>
      <c r="C510">
        <v>169.50406809763436</v>
      </c>
      <c r="D510">
        <v>16.29</v>
      </c>
      <c r="N510" s="46">
        <v>44111</v>
      </c>
      <c r="O510" t="s">
        <v>595</v>
      </c>
    </row>
    <row r="511" spans="2:15">
      <c r="B511" s="46">
        <v>44112</v>
      </c>
      <c r="C511">
        <v>167.17323707995411</v>
      </c>
      <c r="D511">
        <v>25.5</v>
      </c>
      <c r="N511" s="46">
        <v>44112</v>
      </c>
      <c r="O511" t="s">
        <v>596</v>
      </c>
    </row>
    <row r="512" spans="2:15">
      <c r="B512" s="46">
        <v>44113</v>
      </c>
      <c r="C512">
        <v>167.84295059607496</v>
      </c>
      <c r="D512">
        <v>22.37</v>
      </c>
      <c r="N512" s="46">
        <v>44113</v>
      </c>
      <c r="O512" t="s">
        <v>597</v>
      </c>
    </row>
    <row r="513" spans="2:15">
      <c r="B513" s="46">
        <v>44116</v>
      </c>
      <c r="C513">
        <v>172.15541174835715</v>
      </c>
      <c r="D513">
        <v>66.25</v>
      </c>
      <c r="N513" s="46">
        <v>44116</v>
      </c>
      <c r="O513" t="s">
        <v>598</v>
      </c>
    </row>
    <row r="514" spans="2:15">
      <c r="B514" s="46">
        <v>44117</v>
      </c>
      <c r="C514">
        <v>170.17025025978091</v>
      </c>
      <c r="D514">
        <v>35.69</v>
      </c>
      <c r="N514" s="46">
        <v>44117</v>
      </c>
      <c r="O514" t="s">
        <v>599</v>
      </c>
    </row>
    <row r="515" spans="2:15">
      <c r="B515" s="46">
        <v>44118</v>
      </c>
      <c r="C515">
        <v>167.82315959602425</v>
      </c>
      <c r="D515">
        <v>38.22</v>
      </c>
      <c r="N515" s="46">
        <v>44118</v>
      </c>
      <c r="O515" t="s">
        <v>600</v>
      </c>
    </row>
    <row r="516" spans="2:15">
      <c r="B516" s="46">
        <v>44119</v>
      </c>
      <c r="C516">
        <v>165.07707263991296</v>
      </c>
      <c r="D516">
        <v>27.12</v>
      </c>
      <c r="N516" s="46">
        <v>44119</v>
      </c>
      <c r="O516" t="s">
        <v>601</v>
      </c>
    </row>
    <row r="517" spans="2:15">
      <c r="B517" s="46">
        <v>44120</v>
      </c>
      <c r="C517">
        <v>165.69353795201988</v>
      </c>
      <c r="D517">
        <v>20.23</v>
      </c>
      <c r="N517" s="46">
        <v>44120</v>
      </c>
      <c r="O517" t="s">
        <v>602</v>
      </c>
    </row>
    <row r="518" spans="2:15">
      <c r="B518" s="46">
        <v>44123</v>
      </c>
      <c r="C518">
        <v>168.22409348960261</v>
      </c>
      <c r="D518">
        <v>19.02</v>
      </c>
      <c r="N518" s="46">
        <v>44123</v>
      </c>
      <c r="O518" t="s">
        <v>603</v>
      </c>
    </row>
    <row r="519" spans="2:15">
      <c r="B519" s="46">
        <v>44124</v>
      </c>
      <c r="C519">
        <v>167.45803798582332</v>
      </c>
      <c r="D519">
        <v>16.149999999999999</v>
      </c>
      <c r="N519" s="46">
        <v>44124</v>
      </c>
      <c r="O519" t="s">
        <v>604</v>
      </c>
    </row>
    <row r="520" spans="2:15">
      <c r="B520" s="46">
        <v>44125</v>
      </c>
      <c r="C520">
        <v>167.64798822414133</v>
      </c>
      <c r="D520">
        <v>16.48</v>
      </c>
      <c r="N520" s="46">
        <v>44125</v>
      </c>
      <c r="O520" t="s">
        <v>605</v>
      </c>
    </row>
    <row r="521" spans="2:15">
      <c r="B521" s="46">
        <v>44126</v>
      </c>
      <c r="C521">
        <v>168.54089879146528</v>
      </c>
      <c r="D521">
        <v>22.04</v>
      </c>
      <c r="N521" s="46">
        <v>44126</v>
      </c>
      <c r="O521" t="s">
        <v>606</v>
      </c>
    </row>
    <row r="522" spans="2:15">
      <c r="B522" s="46">
        <v>44127</v>
      </c>
      <c r="C522">
        <v>170.72763467985692</v>
      </c>
      <c r="D522">
        <v>20.149999999999999</v>
      </c>
      <c r="N522" s="46">
        <v>44127</v>
      </c>
      <c r="O522" t="s">
        <v>607</v>
      </c>
    </row>
    <row r="523" spans="2:15">
      <c r="B523" s="46">
        <v>44130</v>
      </c>
      <c r="C523">
        <v>168.57174575520244</v>
      </c>
      <c r="D523">
        <v>16.079999999999998</v>
      </c>
      <c r="N523" s="46">
        <v>44130</v>
      </c>
      <c r="O523" t="s">
        <v>608</v>
      </c>
    </row>
    <row r="524" spans="2:15">
      <c r="B524" s="46">
        <v>44131</v>
      </c>
      <c r="C524">
        <v>167.21337707016559</v>
      </c>
      <c r="D524">
        <v>45.89</v>
      </c>
      <c r="N524" s="46">
        <v>44131</v>
      </c>
      <c r="O524" t="s">
        <v>609</v>
      </c>
    </row>
    <row r="525" spans="2:15">
      <c r="B525" s="46">
        <v>44132</v>
      </c>
      <c r="C525">
        <v>165.51688272203765</v>
      </c>
      <c r="D525">
        <v>16.82</v>
      </c>
      <c r="N525" s="46">
        <v>44132</v>
      </c>
      <c r="O525" t="s">
        <v>610</v>
      </c>
    </row>
    <row r="526" spans="2:15">
      <c r="B526" s="46">
        <v>44133</v>
      </c>
      <c r="C526">
        <v>163.86638663866387</v>
      </c>
      <c r="D526">
        <v>21.01</v>
      </c>
      <c r="N526" s="46">
        <v>44133</v>
      </c>
      <c r="O526" t="s">
        <v>611</v>
      </c>
    </row>
    <row r="527" spans="2:15">
      <c r="B527" s="46">
        <v>44134</v>
      </c>
      <c r="C527">
        <v>165.2359549438298</v>
      </c>
      <c r="D527">
        <v>16.350000000000001</v>
      </c>
      <c r="N527" s="46">
        <v>44134</v>
      </c>
      <c r="O527" t="s">
        <v>612</v>
      </c>
    </row>
    <row r="528" spans="2:15">
      <c r="B528" s="46">
        <v>44137</v>
      </c>
      <c r="C528">
        <v>166.73482713073111</v>
      </c>
      <c r="D528">
        <v>14.37</v>
      </c>
      <c r="N528" s="46">
        <v>44137</v>
      </c>
      <c r="O528" t="s">
        <v>613</v>
      </c>
    </row>
    <row r="529" spans="2:15">
      <c r="B529" s="46">
        <v>44138</v>
      </c>
      <c r="C529">
        <v>170.06581677082909</v>
      </c>
      <c r="D529">
        <v>22.6</v>
      </c>
      <c r="N529" s="46">
        <v>44138</v>
      </c>
      <c r="O529" t="s">
        <v>614</v>
      </c>
    </row>
    <row r="530" spans="2:15">
      <c r="B530" s="46">
        <v>44139</v>
      </c>
      <c r="C530">
        <v>169.80305645501619</v>
      </c>
      <c r="D530">
        <v>18.809999999999999</v>
      </c>
      <c r="N530" s="46">
        <v>44139</v>
      </c>
      <c r="O530" t="s">
        <v>615</v>
      </c>
    </row>
    <row r="531" spans="2:15">
      <c r="B531" s="46">
        <v>44140</v>
      </c>
      <c r="C531">
        <v>174.69898789553451</v>
      </c>
      <c r="D531">
        <v>27</v>
      </c>
      <c r="N531" s="46">
        <v>44140</v>
      </c>
      <c r="O531" t="s">
        <v>616</v>
      </c>
    </row>
    <row r="532" spans="2:15">
      <c r="B532" s="46">
        <v>44141</v>
      </c>
      <c r="C532">
        <v>173.95800206809511</v>
      </c>
      <c r="D532">
        <v>34.25</v>
      </c>
      <c r="N532" s="46">
        <v>44141</v>
      </c>
      <c r="O532" t="s">
        <v>617</v>
      </c>
    </row>
    <row r="533" spans="2:15">
      <c r="B533" s="46">
        <v>44144</v>
      </c>
      <c r="C533">
        <v>172.8114055527665</v>
      </c>
      <c r="D533">
        <v>35.29</v>
      </c>
      <c r="N533" s="46">
        <v>44144</v>
      </c>
      <c r="O533" t="s">
        <v>618</v>
      </c>
    </row>
    <row r="534" spans="2:15">
      <c r="B534" s="46">
        <v>44145</v>
      </c>
      <c r="C534">
        <v>178.29276802146509</v>
      </c>
      <c r="D534">
        <v>57.46</v>
      </c>
      <c r="N534" s="46">
        <v>44145</v>
      </c>
      <c r="O534" t="s">
        <v>619</v>
      </c>
    </row>
    <row r="535" spans="2:15">
      <c r="B535" s="46">
        <v>44146</v>
      </c>
      <c r="C535">
        <v>185.22776117314251</v>
      </c>
      <c r="D535">
        <v>63.32</v>
      </c>
      <c r="N535" s="46">
        <v>44146</v>
      </c>
      <c r="O535" t="s">
        <v>620</v>
      </c>
    </row>
    <row r="536" spans="2:15">
      <c r="B536" s="46">
        <v>44147</v>
      </c>
      <c r="C536">
        <v>187.972556006823</v>
      </c>
      <c r="D536">
        <v>46.37</v>
      </c>
      <c r="N536" s="46">
        <v>44147</v>
      </c>
      <c r="O536" t="s">
        <v>621</v>
      </c>
    </row>
    <row r="537" spans="2:15">
      <c r="B537" s="46">
        <v>44148</v>
      </c>
      <c r="C537">
        <v>187.10898123109911</v>
      </c>
      <c r="D537">
        <v>28.2</v>
      </c>
      <c r="N537" s="46">
        <v>44148</v>
      </c>
      <c r="O537" t="s">
        <v>622</v>
      </c>
    </row>
    <row r="538" spans="2:15">
      <c r="B538" s="46">
        <v>44149</v>
      </c>
      <c r="C538">
        <v>188.58491320694341</v>
      </c>
      <c r="D538">
        <v>7.77</v>
      </c>
      <c r="N538" s="46">
        <v>44149</v>
      </c>
      <c r="O538" t="s">
        <v>623</v>
      </c>
    </row>
    <row r="539" spans="2:15">
      <c r="B539" s="46">
        <v>44152</v>
      </c>
      <c r="C539">
        <v>187.36236591615045</v>
      </c>
      <c r="D539">
        <v>20.95</v>
      </c>
      <c r="N539" s="46">
        <v>44152</v>
      </c>
      <c r="O539" t="s">
        <v>624</v>
      </c>
    </row>
    <row r="540" spans="2:15">
      <c r="B540" s="46">
        <v>44153</v>
      </c>
      <c r="C540">
        <v>184.08239850213639</v>
      </c>
      <c r="D540">
        <v>26.6</v>
      </c>
      <c r="N540" s="46">
        <v>44153</v>
      </c>
      <c r="O540" t="s">
        <v>625</v>
      </c>
    </row>
    <row r="541" spans="2:15">
      <c r="B541" s="46">
        <v>44154</v>
      </c>
      <c r="C541">
        <v>187.86073710594488</v>
      </c>
      <c r="D541">
        <v>48.98</v>
      </c>
      <c r="N541" s="46">
        <v>44154</v>
      </c>
      <c r="O541" t="s">
        <v>626</v>
      </c>
    </row>
    <row r="542" spans="2:15">
      <c r="B542" s="46">
        <v>44155</v>
      </c>
      <c r="C542">
        <v>191.66128442054702</v>
      </c>
      <c r="D542">
        <v>45.31</v>
      </c>
      <c r="N542" s="46">
        <v>44155</v>
      </c>
      <c r="O542" t="s">
        <v>627</v>
      </c>
    </row>
    <row r="543" spans="2:15">
      <c r="B543" s="46">
        <v>44158</v>
      </c>
      <c r="C543">
        <v>190.85839776950186</v>
      </c>
      <c r="D543">
        <v>23.18</v>
      </c>
      <c r="N543" s="46">
        <v>44158</v>
      </c>
      <c r="O543" t="s">
        <v>628</v>
      </c>
    </row>
    <row r="544" spans="2:15">
      <c r="B544" s="46">
        <v>44159</v>
      </c>
      <c r="C544">
        <v>195.50190653099338</v>
      </c>
      <c r="D544">
        <v>45.41</v>
      </c>
      <c r="N544" s="46">
        <v>44159</v>
      </c>
      <c r="O544" t="s">
        <v>629</v>
      </c>
    </row>
    <row r="545" spans="2:15">
      <c r="B545" s="46">
        <v>44160</v>
      </c>
      <c r="C545">
        <v>193.8668664173783</v>
      </c>
      <c r="D545">
        <v>41.66</v>
      </c>
      <c r="N545" s="46">
        <v>44160</v>
      </c>
      <c r="O545" t="s">
        <v>630</v>
      </c>
    </row>
    <row r="546" spans="2:15">
      <c r="B546" s="46">
        <v>44161</v>
      </c>
      <c r="C546">
        <v>194.7904552676919</v>
      </c>
      <c r="D546">
        <v>24.22</v>
      </c>
      <c r="N546" s="46">
        <v>44161</v>
      </c>
      <c r="O546" t="s">
        <v>631</v>
      </c>
    </row>
    <row r="547" spans="2:15">
      <c r="B547" s="46">
        <v>44162</v>
      </c>
      <c r="C547">
        <v>193.66142602413544</v>
      </c>
      <c r="D547">
        <v>31.39</v>
      </c>
      <c r="N547" s="46">
        <v>44162</v>
      </c>
      <c r="O547" t="s">
        <v>632</v>
      </c>
    </row>
    <row r="548" spans="2:15">
      <c r="B548" s="46">
        <v>44166</v>
      </c>
      <c r="C548">
        <v>194.3924186956709</v>
      </c>
      <c r="D548">
        <v>15.89</v>
      </c>
      <c r="N548" s="46">
        <v>44166</v>
      </c>
      <c r="O548" t="s">
        <v>633</v>
      </c>
    </row>
    <row r="549" spans="2:15">
      <c r="B549" s="46">
        <v>44167</v>
      </c>
      <c r="C549">
        <v>195.93432525397967</v>
      </c>
      <c r="D549">
        <v>28.43</v>
      </c>
      <c r="N549" s="46">
        <v>44167</v>
      </c>
      <c r="O549" t="s">
        <v>634</v>
      </c>
    </row>
    <row r="550" spans="2:15">
      <c r="B550" s="46">
        <v>44168</v>
      </c>
      <c r="C550">
        <v>196.19744943315735</v>
      </c>
      <c r="D550">
        <v>28.01</v>
      </c>
      <c r="N550" s="46">
        <v>44168</v>
      </c>
      <c r="O550" t="s">
        <v>548</v>
      </c>
    </row>
    <row r="551" spans="2:15">
      <c r="B551" s="46">
        <v>44169</v>
      </c>
      <c r="C551">
        <v>198.17978566186247</v>
      </c>
      <c r="D551">
        <v>22.15</v>
      </c>
      <c r="N551" s="46">
        <v>44169</v>
      </c>
      <c r="O551" t="s">
        <v>635</v>
      </c>
    </row>
    <row r="552" spans="2:15">
      <c r="B552" s="46">
        <v>44172</v>
      </c>
      <c r="C552">
        <v>203.09922519370156</v>
      </c>
      <c r="D552">
        <v>35.69</v>
      </c>
      <c r="N552" s="46">
        <v>44172</v>
      </c>
      <c r="O552" t="s">
        <v>599</v>
      </c>
    </row>
    <row r="553" spans="2:15">
      <c r="B553" s="46">
        <v>44173</v>
      </c>
      <c r="C553">
        <v>202.45688353404014</v>
      </c>
      <c r="D553">
        <v>30.85</v>
      </c>
      <c r="N553" s="46">
        <v>44173</v>
      </c>
      <c r="O553" t="s">
        <v>636</v>
      </c>
    </row>
    <row r="554" spans="2:15">
      <c r="B554" s="46">
        <v>44174</v>
      </c>
      <c r="C554">
        <v>205.37001597766726</v>
      </c>
      <c r="D554">
        <v>39.68</v>
      </c>
      <c r="N554" s="46">
        <v>44174</v>
      </c>
      <c r="O554" t="s">
        <v>637</v>
      </c>
    </row>
    <row r="555" spans="2:15">
      <c r="B555" s="46">
        <v>44175</v>
      </c>
      <c r="C555">
        <v>212.62451829600488</v>
      </c>
      <c r="D555">
        <v>65.23</v>
      </c>
      <c r="N555" s="46">
        <v>44175</v>
      </c>
      <c r="O555" t="s">
        <v>638</v>
      </c>
    </row>
    <row r="556" spans="2:15">
      <c r="B556" s="46">
        <v>44176</v>
      </c>
      <c r="C556">
        <v>216.26345147670042</v>
      </c>
      <c r="D556">
        <v>60.32</v>
      </c>
      <c r="N556" s="46">
        <v>44176</v>
      </c>
      <c r="O556" t="s">
        <v>639</v>
      </c>
    </row>
    <row r="557" spans="2:15">
      <c r="B557" s="46">
        <v>44179</v>
      </c>
      <c r="C557">
        <v>215.90388626995286</v>
      </c>
      <c r="D557">
        <v>26.99</v>
      </c>
      <c r="N557" s="46">
        <v>44179</v>
      </c>
      <c r="O557" t="s">
        <v>640</v>
      </c>
    </row>
    <row r="558" spans="2:15">
      <c r="B558" s="46">
        <v>44180</v>
      </c>
      <c r="C558">
        <v>213.57327948746416</v>
      </c>
      <c r="D558">
        <v>23.26</v>
      </c>
      <c r="N558" s="46">
        <v>44180</v>
      </c>
      <c r="O558" t="s">
        <v>641</v>
      </c>
    </row>
    <row r="559" spans="2:15">
      <c r="B559" s="46">
        <v>44181</v>
      </c>
      <c r="C559">
        <v>213.99550609437202</v>
      </c>
      <c r="D559">
        <v>19.55</v>
      </c>
      <c r="N559" s="46">
        <v>44181</v>
      </c>
      <c r="O559" t="s">
        <v>642</v>
      </c>
    </row>
    <row r="560" spans="2:15">
      <c r="B560" s="46">
        <v>44182</v>
      </c>
      <c r="C560">
        <v>213.05937461248297</v>
      </c>
      <c r="D560">
        <v>22.39</v>
      </c>
      <c r="N560" s="46">
        <v>44182</v>
      </c>
      <c r="O560" t="s">
        <v>643</v>
      </c>
    </row>
    <row r="561" spans="2:15">
      <c r="B561" s="46">
        <v>44183</v>
      </c>
      <c r="C561">
        <v>214.48541499178057</v>
      </c>
      <c r="D561">
        <v>23.78</v>
      </c>
      <c r="N561" s="46">
        <v>44183</v>
      </c>
      <c r="O561" t="s">
        <v>544</v>
      </c>
    </row>
    <row r="562" spans="2:15">
      <c r="B562" s="46">
        <v>44186</v>
      </c>
      <c r="C562">
        <v>203.05924587428035</v>
      </c>
      <c r="D562">
        <v>41.83</v>
      </c>
      <c r="N562" s="46">
        <v>44186</v>
      </c>
      <c r="O562" t="s">
        <v>644</v>
      </c>
    </row>
    <row r="563" spans="2:15">
      <c r="B563" s="46">
        <v>44187</v>
      </c>
      <c r="C563">
        <v>203.39552529844346</v>
      </c>
      <c r="D563">
        <v>40.99</v>
      </c>
      <c r="N563" s="46">
        <v>44187</v>
      </c>
      <c r="O563" t="s">
        <v>645</v>
      </c>
    </row>
    <row r="564" spans="2:15">
      <c r="B564" s="46">
        <v>44188</v>
      </c>
      <c r="C564">
        <v>207.70555101208342</v>
      </c>
      <c r="D564">
        <v>23.7</v>
      </c>
      <c r="N564" s="46">
        <v>44188</v>
      </c>
      <c r="O564" t="s">
        <v>646</v>
      </c>
    </row>
    <row r="565" spans="2:15">
      <c r="B565" s="46">
        <v>44189</v>
      </c>
      <c r="C565">
        <v>208.59144775064223</v>
      </c>
      <c r="D565">
        <v>22.77</v>
      </c>
      <c r="N565" s="46">
        <v>44189</v>
      </c>
      <c r="O565" t="s">
        <v>647</v>
      </c>
    </row>
    <row r="566" spans="2:15">
      <c r="B566" s="46">
        <v>44193</v>
      </c>
      <c r="C566">
        <v>209.49099188734886</v>
      </c>
      <c r="D566">
        <v>15.74</v>
      </c>
      <c r="N566" s="46">
        <v>44193</v>
      </c>
      <c r="O566" t="s">
        <v>648</v>
      </c>
    </row>
    <row r="567" spans="2:15">
      <c r="B567" s="46">
        <v>44194</v>
      </c>
      <c r="C567">
        <v>211.52927013152714</v>
      </c>
      <c r="D567">
        <v>26.55</v>
      </c>
      <c r="N567" s="46">
        <v>44194</v>
      </c>
      <c r="O567" t="s">
        <v>528</v>
      </c>
    </row>
    <row r="568" spans="2:15">
      <c r="B568" s="46">
        <v>44195</v>
      </c>
      <c r="C568">
        <v>211.15401192622662</v>
      </c>
      <c r="D568">
        <v>18.93</v>
      </c>
      <c r="N568" s="46">
        <v>44195</v>
      </c>
      <c r="O568" t="s">
        <v>649</v>
      </c>
    </row>
    <row r="569" spans="2:15">
      <c r="B569" s="46">
        <v>44196</v>
      </c>
      <c r="C569">
        <v>209.02132017465783</v>
      </c>
      <c r="D569">
        <v>18.25</v>
      </c>
      <c r="N569" s="46">
        <v>44196</v>
      </c>
      <c r="O569" t="s">
        <v>650</v>
      </c>
    </row>
    <row r="570" spans="2:15">
      <c r="B570" s="46">
        <v>44197</v>
      </c>
      <c r="C570">
        <v>213.80039830759264</v>
      </c>
      <c r="D570">
        <v>19.53</v>
      </c>
      <c r="N570" s="46">
        <v>44197</v>
      </c>
      <c r="O570" t="s">
        <v>651</v>
      </c>
    </row>
    <row r="571" spans="2:15">
      <c r="B571" s="46">
        <v>44200</v>
      </c>
      <c r="C571">
        <v>213.40448149411139</v>
      </c>
      <c r="D571">
        <v>26.89</v>
      </c>
      <c r="N571" s="46">
        <v>44200</v>
      </c>
      <c r="O571" t="s">
        <v>652</v>
      </c>
    </row>
    <row r="572" spans="2:15">
      <c r="B572" s="46">
        <v>44201</v>
      </c>
      <c r="C572">
        <v>211.46924370117679</v>
      </c>
      <c r="D572">
        <v>18.02</v>
      </c>
      <c r="N572" s="46">
        <v>44201</v>
      </c>
      <c r="O572" t="s">
        <v>653</v>
      </c>
    </row>
    <row r="573" spans="2:15">
      <c r="B573" s="46">
        <v>44202</v>
      </c>
      <c r="C573">
        <v>205.45876120570483</v>
      </c>
      <c r="D573">
        <v>49.07</v>
      </c>
      <c r="N573" s="46">
        <v>44202</v>
      </c>
      <c r="O573" t="s">
        <v>654</v>
      </c>
    </row>
    <row r="574" spans="2:15">
      <c r="B574" s="46">
        <v>44203</v>
      </c>
      <c r="C574">
        <v>202.82575887137668</v>
      </c>
      <c r="D574">
        <v>34.950000000000003</v>
      </c>
      <c r="N574" s="46">
        <v>44203</v>
      </c>
      <c r="O574" t="s">
        <v>655</v>
      </c>
    </row>
    <row r="575" spans="2:15">
      <c r="B575" s="46">
        <v>44204</v>
      </c>
      <c r="C575">
        <v>201.51289682539681</v>
      </c>
      <c r="D575">
        <v>56.43</v>
      </c>
      <c r="N575" s="46">
        <v>44204</v>
      </c>
      <c r="O575" t="s">
        <v>656</v>
      </c>
    </row>
    <row r="576" spans="2:15">
      <c r="B576" s="46">
        <v>44207</v>
      </c>
      <c r="C576">
        <v>202.48987550622468</v>
      </c>
      <c r="D576">
        <v>42.97</v>
      </c>
      <c r="N576" s="46">
        <v>44207</v>
      </c>
      <c r="O576" t="s">
        <v>657</v>
      </c>
    </row>
    <row r="577" spans="2:15">
      <c r="B577" s="46">
        <v>44208</v>
      </c>
      <c r="C577">
        <v>206.40975009873074</v>
      </c>
      <c r="D577">
        <v>35.619999999999997</v>
      </c>
      <c r="N577" s="46">
        <v>44208</v>
      </c>
      <c r="O577" t="s">
        <v>658</v>
      </c>
    </row>
    <row r="578" spans="2:15">
      <c r="B578" s="46">
        <v>44209</v>
      </c>
      <c r="C578">
        <v>211.20079021587972</v>
      </c>
      <c r="D578">
        <v>63.93</v>
      </c>
      <c r="N578" s="46">
        <v>44209</v>
      </c>
      <c r="O578" t="s">
        <v>659</v>
      </c>
    </row>
    <row r="579" spans="2:15">
      <c r="B579" s="46">
        <v>44210</v>
      </c>
      <c r="C579">
        <v>214.12066546883077</v>
      </c>
      <c r="D579">
        <v>48.3</v>
      </c>
      <c r="N579" s="46">
        <v>44210</v>
      </c>
      <c r="O579" t="s">
        <v>660</v>
      </c>
    </row>
    <row r="580" spans="2:15">
      <c r="B580" s="46">
        <v>44211</v>
      </c>
      <c r="C580">
        <v>217.81231846890489</v>
      </c>
      <c r="D580">
        <v>58.32</v>
      </c>
      <c r="N580" s="46">
        <v>44211</v>
      </c>
      <c r="O580" t="s">
        <v>661</v>
      </c>
    </row>
    <row r="581" spans="2:15">
      <c r="B581" s="46">
        <v>44214</v>
      </c>
      <c r="C581">
        <v>219.73088341314306</v>
      </c>
      <c r="D581">
        <v>67.61</v>
      </c>
      <c r="N581" s="46">
        <v>44214</v>
      </c>
      <c r="O581" t="s">
        <v>662</v>
      </c>
    </row>
    <row r="582" spans="2:15">
      <c r="B582" s="46">
        <v>44215</v>
      </c>
      <c r="C582">
        <v>218.85897321790191</v>
      </c>
      <c r="D582">
        <v>31.79</v>
      </c>
      <c r="N582" s="46">
        <v>44215</v>
      </c>
      <c r="O582" t="s">
        <v>663</v>
      </c>
    </row>
    <row r="583" spans="2:15">
      <c r="B583" s="46">
        <v>44216</v>
      </c>
      <c r="C583">
        <v>217.66197140842746</v>
      </c>
      <c r="D583">
        <v>44.67</v>
      </c>
      <c r="N583" s="46">
        <v>44216</v>
      </c>
      <c r="O583" t="s">
        <v>664</v>
      </c>
    </row>
    <row r="584" spans="2:15">
      <c r="B584" s="46">
        <v>44217</v>
      </c>
      <c r="C584">
        <v>213.73868670229311</v>
      </c>
      <c r="D584">
        <v>29</v>
      </c>
      <c r="N584" s="46">
        <v>44217</v>
      </c>
      <c r="O584" t="s">
        <v>665</v>
      </c>
    </row>
    <row r="585" spans="2:15">
      <c r="B585" s="46">
        <v>44218</v>
      </c>
      <c r="C585">
        <v>210.72950213029824</v>
      </c>
      <c r="D585">
        <v>24.71</v>
      </c>
      <c r="N585" s="46">
        <v>44218</v>
      </c>
      <c r="O585" t="s">
        <v>666</v>
      </c>
    </row>
    <row r="586" spans="2:15">
      <c r="B586" s="46">
        <v>44221</v>
      </c>
      <c r="C586">
        <v>207.8286803578894</v>
      </c>
      <c r="D586">
        <v>24.97</v>
      </c>
      <c r="N586" s="46">
        <v>44221</v>
      </c>
      <c r="O586" t="s">
        <v>667</v>
      </c>
    </row>
    <row r="587" spans="2:15">
      <c r="B587" s="46">
        <v>44223</v>
      </c>
      <c r="C587">
        <v>210.62114490314826</v>
      </c>
      <c r="D587">
        <v>48.47</v>
      </c>
      <c r="N587" s="46">
        <v>44223</v>
      </c>
      <c r="O587" t="s">
        <v>668</v>
      </c>
    </row>
    <row r="588" spans="2:15">
      <c r="B588" s="46">
        <v>44224</v>
      </c>
      <c r="C588">
        <v>206.63967481756495</v>
      </c>
      <c r="D588">
        <v>22.13</v>
      </c>
      <c r="N588" s="46">
        <v>44224</v>
      </c>
      <c r="O588" t="s">
        <v>669</v>
      </c>
    </row>
    <row r="589" spans="2:15">
      <c r="B589" s="46">
        <v>44225</v>
      </c>
      <c r="C589">
        <v>203.28293183495725</v>
      </c>
      <c r="D589">
        <v>23.76</v>
      </c>
      <c r="N589" s="46">
        <v>44225</v>
      </c>
      <c r="O589" t="s">
        <v>670</v>
      </c>
    </row>
    <row r="590" spans="2:15">
      <c r="B590" s="46">
        <v>44228</v>
      </c>
      <c r="C590">
        <v>215.81511555277947</v>
      </c>
      <c r="D590">
        <v>57.74</v>
      </c>
      <c r="N590" s="46">
        <v>44228</v>
      </c>
      <c r="O590" t="s">
        <v>671</v>
      </c>
    </row>
    <row r="591" spans="2:15">
      <c r="B591" s="46">
        <v>44229</v>
      </c>
      <c r="C591">
        <v>218.17730955980574</v>
      </c>
      <c r="D591">
        <v>48.46</v>
      </c>
      <c r="N591" s="46">
        <v>44229</v>
      </c>
      <c r="O591" t="s">
        <v>672</v>
      </c>
    </row>
    <row r="592" spans="2:15">
      <c r="B592" s="46">
        <v>44230</v>
      </c>
      <c r="C592">
        <v>216.76430644422533</v>
      </c>
      <c r="D592">
        <v>53.64</v>
      </c>
      <c r="N592" s="46">
        <v>44230</v>
      </c>
      <c r="O592" t="s">
        <v>673</v>
      </c>
    </row>
    <row r="593" spans="2:15">
      <c r="B593" s="46">
        <v>44231</v>
      </c>
      <c r="C593">
        <v>229.81004568217952</v>
      </c>
      <c r="D593">
        <v>105.82</v>
      </c>
      <c r="N593" s="46">
        <v>44231</v>
      </c>
      <c r="O593" t="s">
        <v>674</v>
      </c>
    </row>
    <row r="594" spans="2:15">
      <c r="B594" s="46">
        <v>44232</v>
      </c>
      <c r="C594">
        <v>234.30524769768974</v>
      </c>
      <c r="D594">
        <v>125.49</v>
      </c>
      <c r="N594" s="46">
        <v>44232</v>
      </c>
      <c r="O594" t="s">
        <v>675</v>
      </c>
    </row>
    <row r="595" spans="2:15">
      <c r="B595" s="46">
        <v>44235</v>
      </c>
      <c r="C595">
        <v>233.11235495481259</v>
      </c>
      <c r="D595">
        <v>41.5</v>
      </c>
      <c r="N595" s="46">
        <v>44235</v>
      </c>
      <c r="O595" t="s">
        <v>676</v>
      </c>
    </row>
    <row r="596" spans="2:15">
      <c r="B596" s="46">
        <v>44236</v>
      </c>
      <c r="C596">
        <v>229.04031109475267</v>
      </c>
      <c r="D596">
        <v>70.66</v>
      </c>
      <c r="N596" s="46">
        <v>44236</v>
      </c>
      <c r="O596" t="s">
        <v>677</v>
      </c>
    </row>
    <row r="597" spans="2:15">
      <c r="B597" s="46">
        <v>44237</v>
      </c>
      <c r="C597">
        <v>227.56433655320288</v>
      </c>
      <c r="D597">
        <v>47.28</v>
      </c>
      <c r="N597" s="46">
        <v>44237</v>
      </c>
      <c r="O597" t="s">
        <v>678</v>
      </c>
    </row>
    <row r="598" spans="2:15">
      <c r="B598" s="46">
        <v>44238</v>
      </c>
      <c r="C598">
        <v>226.46087012176585</v>
      </c>
      <c r="D598">
        <v>43.63</v>
      </c>
      <c r="N598" s="46">
        <v>44238</v>
      </c>
      <c r="O598" t="s">
        <v>679</v>
      </c>
    </row>
    <row r="599" spans="2:15">
      <c r="B599" s="46">
        <v>44239</v>
      </c>
      <c r="C599">
        <v>217.53636193568846</v>
      </c>
      <c r="D599">
        <v>110.57</v>
      </c>
      <c r="N599" s="46">
        <v>44239</v>
      </c>
      <c r="O599" t="s">
        <v>680</v>
      </c>
    </row>
    <row r="600" spans="2:15">
      <c r="B600" s="46">
        <v>44242</v>
      </c>
      <c r="C600">
        <v>218.58841481401484</v>
      </c>
      <c r="D600">
        <v>31.78</v>
      </c>
      <c r="N600" s="46">
        <v>44242</v>
      </c>
      <c r="O600" t="s">
        <v>681</v>
      </c>
    </row>
    <row r="601" spans="2:15">
      <c r="B601" s="46">
        <v>44243</v>
      </c>
      <c r="C601">
        <v>218.2534920558729</v>
      </c>
      <c r="D601">
        <v>29.15</v>
      </c>
      <c r="N601" s="46">
        <v>44243</v>
      </c>
      <c r="O601" t="s">
        <v>682</v>
      </c>
    </row>
    <row r="602" spans="2:15">
      <c r="B602" s="46">
        <v>44244</v>
      </c>
      <c r="C602">
        <v>217.7550083651924</v>
      </c>
      <c r="D602">
        <v>19.850000000000001</v>
      </c>
      <c r="N602" s="46">
        <v>44244</v>
      </c>
      <c r="O602" t="s">
        <v>520</v>
      </c>
    </row>
    <row r="603" spans="2:15">
      <c r="B603" s="46">
        <v>44245</v>
      </c>
      <c r="C603">
        <v>218.8388392191998</v>
      </c>
      <c r="D603">
        <v>24.07</v>
      </c>
      <c r="N603" s="46">
        <v>44245</v>
      </c>
      <c r="O603" t="s">
        <v>683</v>
      </c>
    </row>
    <row r="604" spans="2:15">
      <c r="B604" s="46">
        <v>44246</v>
      </c>
      <c r="C604">
        <v>215.97872517044766</v>
      </c>
      <c r="D604">
        <v>28.13</v>
      </c>
      <c r="N604" s="46">
        <v>44246</v>
      </c>
      <c r="O604" t="s">
        <v>684</v>
      </c>
    </row>
    <row r="605" spans="2:15">
      <c r="B605" s="46">
        <v>44249</v>
      </c>
      <c r="C605">
        <v>207.13533975998112</v>
      </c>
      <c r="D605">
        <v>51.55</v>
      </c>
      <c r="N605" s="46">
        <v>44249</v>
      </c>
      <c r="O605" t="s">
        <v>685</v>
      </c>
    </row>
    <row r="606" spans="2:15">
      <c r="B606" s="46">
        <v>44250</v>
      </c>
      <c r="C606">
        <v>208.48540602157848</v>
      </c>
      <c r="D606">
        <v>26.68</v>
      </c>
      <c r="N606" s="46">
        <v>44250</v>
      </c>
      <c r="O606" t="s">
        <v>686</v>
      </c>
    </row>
    <row r="607" spans="2:15">
      <c r="B607" s="46">
        <v>44251</v>
      </c>
      <c r="C607">
        <v>208.84644961035664</v>
      </c>
      <c r="D607">
        <v>13.16</v>
      </c>
      <c r="N607" s="46">
        <v>44251</v>
      </c>
      <c r="O607" t="s">
        <v>687</v>
      </c>
    </row>
    <row r="608" spans="2:15">
      <c r="B608" s="46">
        <v>44252</v>
      </c>
      <c r="C608">
        <v>209.14707194099284</v>
      </c>
      <c r="D608">
        <v>25.95</v>
      </c>
      <c r="N608" s="46">
        <v>44252</v>
      </c>
      <c r="O608" t="s">
        <v>688</v>
      </c>
    </row>
    <row r="609" spans="2:15">
      <c r="B609" s="46">
        <v>44253</v>
      </c>
      <c r="C609">
        <v>203.90158710153668</v>
      </c>
      <c r="D609">
        <v>43.43</v>
      </c>
      <c r="N609" s="46">
        <v>44253</v>
      </c>
      <c r="O609" t="s">
        <v>689</v>
      </c>
    </row>
    <row r="610" spans="2:15">
      <c r="B610" s="46">
        <v>44256</v>
      </c>
      <c r="C610">
        <v>206.86896965455179</v>
      </c>
      <c r="D610">
        <v>16.23</v>
      </c>
      <c r="N610" s="46">
        <v>44256</v>
      </c>
      <c r="O610" t="s">
        <v>690</v>
      </c>
    </row>
    <row r="611" spans="2:15">
      <c r="B611" s="46">
        <v>44257</v>
      </c>
      <c r="C611">
        <v>209.86956891250767</v>
      </c>
      <c r="D611">
        <v>25.6</v>
      </c>
      <c r="N611" s="46">
        <v>44257</v>
      </c>
      <c r="O611" t="s">
        <v>691</v>
      </c>
    </row>
    <row r="612" spans="2:15">
      <c r="B612" s="46">
        <v>44258</v>
      </c>
      <c r="C612">
        <v>209.94958010083977</v>
      </c>
      <c r="D612">
        <v>20.85</v>
      </c>
      <c r="N612" s="46">
        <v>44258</v>
      </c>
      <c r="O612" t="s">
        <v>692</v>
      </c>
    </row>
    <row r="613" spans="2:15">
      <c r="B613" s="46">
        <v>44259</v>
      </c>
      <c r="C613">
        <v>209.70251643019716</v>
      </c>
      <c r="D613">
        <v>24.9</v>
      </c>
      <c r="N613" s="46">
        <v>44259</v>
      </c>
      <c r="O613" t="s">
        <v>693</v>
      </c>
    </row>
    <row r="614" spans="2:15">
      <c r="B614" s="46">
        <v>44260</v>
      </c>
      <c r="C614">
        <v>208.56147088089847</v>
      </c>
      <c r="D614">
        <v>17.32</v>
      </c>
      <c r="N614" s="46">
        <v>44260</v>
      </c>
      <c r="O614" t="s">
        <v>694</v>
      </c>
    </row>
    <row r="615" spans="2:15">
      <c r="B615" s="46">
        <v>44263</v>
      </c>
      <c r="C615">
        <v>208.00540814061165</v>
      </c>
      <c r="D615">
        <v>22.99</v>
      </c>
      <c r="N615" s="46">
        <v>44263</v>
      </c>
      <c r="O615" t="s">
        <v>695</v>
      </c>
    </row>
    <row r="616" spans="2:15">
      <c r="B616" s="46">
        <v>44264</v>
      </c>
      <c r="C616">
        <v>207.80207802078021</v>
      </c>
      <c r="D616">
        <v>22.59</v>
      </c>
      <c r="N616" s="46">
        <v>44264</v>
      </c>
      <c r="O616" t="s">
        <v>696</v>
      </c>
    </row>
    <row r="617" spans="2:15">
      <c r="B617" s="46">
        <v>44265</v>
      </c>
      <c r="C617">
        <v>206.51301031965014</v>
      </c>
      <c r="D617">
        <v>19.600000000000001</v>
      </c>
      <c r="N617" s="46">
        <v>44265</v>
      </c>
      <c r="O617" t="s">
        <v>697</v>
      </c>
    </row>
    <row r="618" spans="2:15">
      <c r="B618" s="46">
        <v>44267</v>
      </c>
      <c r="C618">
        <v>205.21292841449011</v>
      </c>
      <c r="D618">
        <v>30.79</v>
      </c>
      <c r="N618" s="46">
        <v>44267</v>
      </c>
      <c r="O618" t="s">
        <v>698</v>
      </c>
    </row>
    <row r="619" spans="2:15">
      <c r="B619" s="46">
        <v>44270</v>
      </c>
      <c r="C619">
        <v>205.44753462958445</v>
      </c>
      <c r="D619">
        <v>41.12</v>
      </c>
      <c r="N619" s="46">
        <v>44270</v>
      </c>
      <c r="O619" t="s">
        <v>699</v>
      </c>
    </row>
    <row r="620" spans="2:15">
      <c r="B620" s="46">
        <v>44271</v>
      </c>
      <c r="C620">
        <v>207.82568439492582</v>
      </c>
      <c r="D620">
        <v>48.76</v>
      </c>
      <c r="N620" s="46">
        <v>44271</v>
      </c>
      <c r="O620" t="s">
        <v>700</v>
      </c>
    </row>
    <row r="621" spans="2:15">
      <c r="B621" s="46">
        <v>44272</v>
      </c>
      <c r="C621">
        <v>210.57220446901007</v>
      </c>
      <c r="D621">
        <v>78.58</v>
      </c>
      <c r="N621" s="46">
        <v>44272</v>
      </c>
      <c r="O621" t="s">
        <v>701</v>
      </c>
    </row>
    <row r="622" spans="2:15">
      <c r="B622" s="46">
        <v>44273</v>
      </c>
      <c r="C622">
        <v>217.57711166759137</v>
      </c>
      <c r="D622">
        <v>91.99</v>
      </c>
      <c r="N622" s="46">
        <v>44273</v>
      </c>
      <c r="O622" t="s">
        <v>702</v>
      </c>
    </row>
    <row r="623" spans="2:15">
      <c r="B623" s="46">
        <v>44274</v>
      </c>
      <c r="C623">
        <v>222.89561347031326</v>
      </c>
      <c r="D623">
        <v>134.18</v>
      </c>
      <c r="N623" s="46">
        <v>44274</v>
      </c>
      <c r="O623" t="s">
        <v>703</v>
      </c>
    </row>
    <row r="624" spans="2:15">
      <c r="B624" s="46">
        <v>44277</v>
      </c>
      <c r="C624">
        <v>225.96904224121295</v>
      </c>
      <c r="D624">
        <v>46.05</v>
      </c>
      <c r="N624" s="46">
        <v>44277</v>
      </c>
      <c r="O624" t="s">
        <v>704</v>
      </c>
    </row>
    <row r="625" spans="2:15">
      <c r="B625" s="46">
        <v>44278</v>
      </c>
      <c r="C625">
        <v>222.23733587242654</v>
      </c>
      <c r="D625">
        <v>41.56</v>
      </c>
      <c r="N625" s="46">
        <v>44278</v>
      </c>
      <c r="O625" t="s">
        <v>705</v>
      </c>
    </row>
    <row r="626" spans="2:15">
      <c r="B626" s="46">
        <v>44279</v>
      </c>
      <c r="C626">
        <v>216.01069900642079</v>
      </c>
      <c r="D626">
        <v>27.61</v>
      </c>
      <c r="N626" s="46">
        <v>44279</v>
      </c>
      <c r="O626" t="s">
        <v>706</v>
      </c>
    </row>
    <row r="627" spans="2:15">
      <c r="B627" s="46">
        <v>44280</v>
      </c>
      <c r="C627">
        <v>211.64254015057026</v>
      </c>
      <c r="D627">
        <v>40.68</v>
      </c>
      <c r="N627" s="46">
        <v>44280</v>
      </c>
      <c r="O627" t="s">
        <v>707</v>
      </c>
    </row>
    <row r="628" spans="2:15">
      <c r="B628" s="46">
        <v>44281</v>
      </c>
      <c r="C628">
        <v>210.90695992967767</v>
      </c>
      <c r="D628">
        <v>26.08</v>
      </c>
      <c r="N628" s="46">
        <v>44281</v>
      </c>
      <c r="O628" t="s">
        <v>708</v>
      </c>
    </row>
    <row r="629" spans="2:15">
      <c r="B629" s="46">
        <v>44285</v>
      </c>
      <c r="C629">
        <v>214.51288927015628</v>
      </c>
      <c r="D629">
        <v>27.79</v>
      </c>
      <c r="N629" s="46">
        <v>44285</v>
      </c>
      <c r="O629" t="s">
        <v>709</v>
      </c>
    </row>
    <row r="630" spans="2:15">
      <c r="B630" s="46">
        <v>44286</v>
      </c>
      <c r="C630">
        <v>218.45980339617512</v>
      </c>
      <c r="D630">
        <v>36.49</v>
      </c>
      <c r="N630" s="46">
        <v>44286</v>
      </c>
      <c r="O630" t="s">
        <v>710</v>
      </c>
    </row>
    <row r="631" spans="2:15">
      <c r="B631" s="46">
        <v>44287</v>
      </c>
      <c r="C631">
        <v>220.03437755919333</v>
      </c>
      <c r="D631">
        <v>29.06</v>
      </c>
      <c r="N631" s="46">
        <v>44287</v>
      </c>
      <c r="O631" t="s">
        <v>711</v>
      </c>
    </row>
    <row r="632" spans="2:15">
      <c r="B632" s="46">
        <v>44291</v>
      </c>
      <c r="C632">
        <v>212.62250427395745</v>
      </c>
      <c r="D632">
        <v>31.38</v>
      </c>
      <c r="N632" s="46">
        <v>44291</v>
      </c>
      <c r="O632" t="s">
        <v>290</v>
      </c>
    </row>
    <row r="633" spans="2:15">
      <c r="B633" s="46">
        <v>44292</v>
      </c>
      <c r="C633">
        <v>212.64893675531621</v>
      </c>
      <c r="D633">
        <v>25.67</v>
      </c>
      <c r="N633" s="46">
        <v>44292</v>
      </c>
      <c r="O633" t="s">
        <v>712</v>
      </c>
    </row>
    <row r="634" spans="2:15">
      <c r="B634" s="46">
        <v>44293</v>
      </c>
      <c r="C634">
        <v>213.78845542340716</v>
      </c>
      <c r="D634">
        <v>15.2</v>
      </c>
      <c r="N634" s="46">
        <v>44293</v>
      </c>
      <c r="O634" t="s">
        <v>569</v>
      </c>
    </row>
    <row r="635" spans="2:15">
      <c r="B635" s="46">
        <v>44294</v>
      </c>
      <c r="C635">
        <v>213.25554464416075</v>
      </c>
      <c r="D635">
        <v>14.12</v>
      </c>
      <c r="N635" s="46">
        <v>44294</v>
      </c>
      <c r="O635" t="s">
        <v>713</v>
      </c>
    </row>
    <row r="636" spans="2:15">
      <c r="B636" s="46">
        <v>44295</v>
      </c>
      <c r="C636">
        <v>213.10149171044196</v>
      </c>
      <c r="D636">
        <v>16.36</v>
      </c>
      <c r="N636" s="46">
        <v>44295</v>
      </c>
      <c r="O636" t="s">
        <v>714</v>
      </c>
    </row>
    <row r="637" spans="2:15">
      <c r="B637" s="46">
        <v>44298</v>
      </c>
      <c r="C637">
        <v>205.37516731123591</v>
      </c>
      <c r="D637">
        <v>34.51</v>
      </c>
      <c r="N637" s="46">
        <v>44298</v>
      </c>
      <c r="O637" t="s">
        <v>715</v>
      </c>
    </row>
    <row r="638" spans="2:15">
      <c r="B638" s="46">
        <v>44299</v>
      </c>
      <c r="C638">
        <v>208.66536154998266</v>
      </c>
      <c r="D638">
        <v>20.25</v>
      </c>
      <c r="N638" s="46">
        <v>44299</v>
      </c>
      <c r="O638" t="s">
        <v>716</v>
      </c>
    </row>
    <row r="639" spans="2:15">
      <c r="B639" s="46">
        <v>44301</v>
      </c>
      <c r="C639">
        <v>206.71984510513008</v>
      </c>
      <c r="D639">
        <v>17.53</v>
      </c>
      <c r="N639" s="46">
        <v>44301</v>
      </c>
      <c r="O639" t="s">
        <v>717</v>
      </c>
    </row>
    <row r="640" spans="2:15">
      <c r="B640" s="46">
        <v>44302</v>
      </c>
      <c r="C640">
        <v>207.93752374857507</v>
      </c>
      <c r="D640">
        <v>13.31</v>
      </c>
      <c r="N640" s="46">
        <v>44302</v>
      </c>
      <c r="O640" t="s">
        <v>718</v>
      </c>
    </row>
    <row r="641" spans="2:15">
      <c r="B641" s="46">
        <v>44305</v>
      </c>
      <c r="C641">
        <v>205.6232354256031</v>
      </c>
      <c r="D641">
        <v>15.79</v>
      </c>
      <c r="N641" s="46">
        <v>44305</v>
      </c>
      <c r="O641" t="s">
        <v>719</v>
      </c>
    </row>
    <row r="642" spans="2:15">
      <c r="B642" s="46">
        <v>44306</v>
      </c>
      <c r="C642">
        <v>203.57035703570358</v>
      </c>
      <c r="D642">
        <v>21.36</v>
      </c>
      <c r="N642" s="46">
        <v>44306</v>
      </c>
      <c r="O642" t="s">
        <v>720</v>
      </c>
    </row>
    <row r="643" spans="2:15">
      <c r="B643" s="46">
        <v>44308</v>
      </c>
      <c r="C643">
        <v>205.87632422271437</v>
      </c>
      <c r="D643">
        <v>23.14</v>
      </c>
      <c r="N643" s="46">
        <v>44308</v>
      </c>
      <c r="O643" t="s">
        <v>721</v>
      </c>
    </row>
    <row r="644" spans="2:15">
      <c r="B644" s="46">
        <v>44309</v>
      </c>
      <c r="C644">
        <v>205.35554459970419</v>
      </c>
      <c r="D644">
        <v>19.63</v>
      </c>
      <c r="N644" s="46">
        <v>44309</v>
      </c>
      <c r="O644" t="s">
        <v>722</v>
      </c>
    </row>
    <row r="645" spans="2:15">
      <c r="B645" s="46">
        <v>44312</v>
      </c>
      <c r="C645">
        <v>205.30041060082121</v>
      </c>
      <c r="D645">
        <v>19.89</v>
      </c>
      <c r="N645" s="46">
        <v>44312</v>
      </c>
      <c r="O645" t="s">
        <v>139</v>
      </c>
    </row>
    <row r="646" spans="2:15">
      <c r="B646" s="46">
        <v>44313</v>
      </c>
      <c r="C646">
        <v>205.39897300513496</v>
      </c>
      <c r="D646">
        <v>11.44</v>
      </c>
      <c r="N646" s="46">
        <v>44313</v>
      </c>
      <c r="O646" t="s">
        <v>199</v>
      </c>
    </row>
    <row r="647" spans="2:15">
      <c r="B647" s="46">
        <v>44314</v>
      </c>
      <c r="C647">
        <v>205.49897250513746</v>
      </c>
      <c r="D647">
        <v>12.71</v>
      </c>
      <c r="N647" s="46">
        <v>44314</v>
      </c>
      <c r="O647" t="s">
        <v>723</v>
      </c>
    </row>
    <row r="648" spans="2:15">
      <c r="B648" s="46">
        <v>44315</v>
      </c>
      <c r="C648">
        <v>204.31185008730509</v>
      </c>
      <c r="D648">
        <v>13.1</v>
      </c>
      <c r="N648" s="46">
        <v>44315</v>
      </c>
      <c r="O648" t="s">
        <v>724</v>
      </c>
    </row>
    <row r="649" spans="2:15">
      <c r="B649" s="46">
        <v>44316</v>
      </c>
      <c r="C649">
        <v>202.61681719582725</v>
      </c>
      <c r="D649">
        <v>16.5</v>
      </c>
      <c r="N649" s="46">
        <v>44316</v>
      </c>
      <c r="O649" t="s">
        <v>725</v>
      </c>
    </row>
    <row r="650" spans="2:15">
      <c r="B650" s="46">
        <v>44319</v>
      </c>
      <c r="C650">
        <v>200.96627826853975</v>
      </c>
      <c r="D650">
        <v>20.61</v>
      </c>
      <c r="N650" s="46">
        <v>44319</v>
      </c>
      <c r="O650" t="s">
        <v>726</v>
      </c>
    </row>
    <row r="651" spans="2:15">
      <c r="B651" s="46">
        <v>44320</v>
      </c>
      <c r="C651">
        <v>199.61337409606443</v>
      </c>
      <c r="D651">
        <v>18.260000000000002</v>
      </c>
      <c r="N651" s="46">
        <v>44320</v>
      </c>
      <c r="O651" t="s">
        <v>727</v>
      </c>
    </row>
    <row r="652" spans="2:15">
      <c r="B652" s="46">
        <v>44321</v>
      </c>
      <c r="C652">
        <v>201.38187563119322</v>
      </c>
      <c r="D652">
        <v>13.86</v>
      </c>
      <c r="N652" s="46">
        <v>44321</v>
      </c>
      <c r="O652" t="s">
        <v>728</v>
      </c>
    </row>
    <row r="653" spans="2:15">
      <c r="B653" s="46">
        <v>44322</v>
      </c>
      <c r="C653">
        <v>202.73641666008376</v>
      </c>
      <c r="D653">
        <v>14.32</v>
      </c>
      <c r="N653" s="46">
        <v>44322</v>
      </c>
      <c r="O653" t="s">
        <v>729</v>
      </c>
    </row>
    <row r="654" spans="2:15">
      <c r="B654" s="46">
        <v>44323</v>
      </c>
      <c r="C654">
        <v>205.32371856402381</v>
      </c>
      <c r="D654">
        <v>19.46</v>
      </c>
      <c r="N654" s="46">
        <v>44323</v>
      </c>
      <c r="O654" t="s">
        <v>730</v>
      </c>
    </row>
    <row r="655" spans="2:15">
      <c r="B655" s="46">
        <v>44326</v>
      </c>
      <c r="C655">
        <v>205.54794452055478</v>
      </c>
      <c r="D655">
        <v>16.3</v>
      </c>
      <c r="N655" s="46">
        <v>44326</v>
      </c>
      <c r="O655" t="s">
        <v>731</v>
      </c>
    </row>
    <row r="656" spans="2:15">
      <c r="B656" s="46">
        <v>44327</v>
      </c>
      <c r="C656">
        <v>204.01530114758609</v>
      </c>
      <c r="D656">
        <v>13.75</v>
      </c>
      <c r="N656" s="46">
        <v>44327</v>
      </c>
      <c r="O656" t="s">
        <v>732</v>
      </c>
    </row>
    <row r="657" spans="2:15">
      <c r="B657" s="46">
        <v>44328</v>
      </c>
      <c r="C657">
        <v>203.25752052825953</v>
      </c>
      <c r="D657">
        <v>16.54</v>
      </c>
      <c r="N657" s="46">
        <v>44328</v>
      </c>
      <c r="O657" t="s">
        <v>733</v>
      </c>
    </row>
    <row r="658" spans="2:15">
      <c r="B658" s="46">
        <v>44330</v>
      </c>
      <c r="C658">
        <v>212.15601488540577</v>
      </c>
      <c r="D658">
        <v>61.65</v>
      </c>
      <c r="N658" s="46">
        <v>44330</v>
      </c>
      <c r="O658" t="s">
        <v>734</v>
      </c>
    </row>
    <row r="659" spans="2:15">
      <c r="B659" s="46">
        <v>44333</v>
      </c>
      <c r="C659">
        <v>212.59659845442471</v>
      </c>
      <c r="D659">
        <v>38</v>
      </c>
      <c r="N659" s="46">
        <v>44333</v>
      </c>
      <c r="O659" t="s">
        <v>735</v>
      </c>
    </row>
    <row r="660" spans="2:15">
      <c r="B660" s="46">
        <v>44334</v>
      </c>
      <c r="C660">
        <v>210.07520902508301</v>
      </c>
      <c r="D660">
        <v>30.48</v>
      </c>
      <c r="N660" s="46">
        <v>44334</v>
      </c>
      <c r="O660" t="s">
        <v>736</v>
      </c>
    </row>
    <row r="661" spans="2:15">
      <c r="B661" s="46">
        <v>44335</v>
      </c>
      <c r="C661">
        <v>207.77264721854684</v>
      </c>
      <c r="D661">
        <v>24.41</v>
      </c>
      <c r="N661" s="46">
        <v>44335</v>
      </c>
      <c r="O661" t="s">
        <v>737</v>
      </c>
    </row>
    <row r="662" spans="2:15">
      <c r="B662" s="46">
        <v>44336</v>
      </c>
      <c r="C662">
        <v>207.00745226828167</v>
      </c>
      <c r="D662">
        <v>20.88</v>
      </c>
      <c r="N662" s="46">
        <v>44336</v>
      </c>
      <c r="O662" t="s">
        <v>738</v>
      </c>
    </row>
    <row r="663" spans="2:15">
      <c r="B663" s="46">
        <v>44337</v>
      </c>
      <c r="C663">
        <v>209.02930609869622</v>
      </c>
      <c r="D663">
        <v>22.64</v>
      </c>
      <c r="N663" s="46">
        <v>44337</v>
      </c>
      <c r="O663" t="s">
        <v>739</v>
      </c>
    </row>
    <row r="664" spans="2:15">
      <c r="B664" s="46">
        <v>44340</v>
      </c>
      <c r="C664">
        <v>211.47525739488481</v>
      </c>
      <c r="D664">
        <v>28.87</v>
      </c>
      <c r="N664" s="46">
        <v>44340</v>
      </c>
      <c r="O664" t="s">
        <v>740</v>
      </c>
    </row>
    <row r="665" spans="2:15">
      <c r="B665" s="46">
        <v>44341</v>
      </c>
      <c r="C665">
        <v>210.90590536535024</v>
      </c>
      <c r="D665">
        <v>25.33</v>
      </c>
      <c r="N665" s="46">
        <v>44341</v>
      </c>
      <c r="O665" t="s">
        <v>741</v>
      </c>
    </row>
    <row r="666" spans="2:15">
      <c r="B666" s="46">
        <v>44342</v>
      </c>
      <c r="C666">
        <v>210.60294844127816</v>
      </c>
      <c r="D666">
        <v>17.579999999999998</v>
      </c>
      <c r="N666" s="46">
        <v>44342</v>
      </c>
      <c r="O666" t="s">
        <v>742</v>
      </c>
    </row>
    <row r="667" spans="2:15">
      <c r="B667" s="46">
        <v>44343</v>
      </c>
      <c r="C667">
        <v>211.14451024273367</v>
      </c>
      <c r="D667">
        <v>47.55</v>
      </c>
      <c r="N667" s="46">
        <v>44343</v>
      </c>
      <c r="O667" t="s">
        <v>743</v>
      </c>
    </row>
    <row r="668" spans="2:15">
      <c r="B668" s="46">
        <v>44344</v>
      </c>
      <c r="C668">
        <v>212.88233076654637</v>
      </c>
      <c r="D668">
        <v>25.6</v>
      </c>
      <c r="N668" s="46">
        <v>44344</v>
      </c>
      <c r="O668" t="s">
        <v>691</v>
      </c>
    </row>
    <row r="669" spans="2:15">
      <c r="B669" s="46">
        <v>44347</v>
      </c>
      <c r="C669">
        <v>216.56231815664077</v>
      </c>
      <c r="D669">
        <v>73.040000000000006</v>
      </c>
      <c r="N669" s="46">
        <v>44347</v>
      </c>
      <c r="O669" t="s">
        <v>744</v>
      </c>
    </row>
    <row r="670" spans="2:15">
      <c r="B670" s="46">
        <v>44348</v>
      </c>
      <c r="C670">
        <v>215.26334632747231</v>
      </c>
      <c r="D670">
        <v>38.76</v>
      </c>
      <c r="N670" s="46">
        <v>44348</v>
      </c>
      <c r="O670" t="s">
        <v>745</v>
      </c>
    </row>
    <row r="671" spans="2:15">
      <c r="B671" s="46">
        <v>44349</v>
      </c>
      <c r="C671">
        <v>209.06062758199877</v>
      </c>
      <c r="D671">
        <v>96.65</v>
      </c>
      <c r="N671" s="46">
        <v>44349</v>
      </c>
      <c r="O671" t="s">
        <v>746</v>
      </c>
    </row>
    <row r="672" spans="2:15">
      <c r="B672" s="46">
        <v>44350</v>
      </c>
      <c r="C672">
        <v>209.04958190083619</v>
      </c>
      <c r="D672">
        <v>46.66</v>
      </c>
      <c r="N672" s="46">
        <v>44350</v>
      </c>
      <c r="O672" t="s">
        <v>747</v>
      </c>
    </row>
    <row r="673" spans="2:15">
      <c r="B673" s="46">
        <v>44351</v>
      </c>
      <c r="C673">
        <v>208.75292254091556</v>
      </c>
      <c r="D673">
        <v>30.13</v>
      </c>
      <c r="N673" s="46">
        <v>44351</v>
      </c>
      <c r="O673" t="s">
        <v>748</v>
      </c>
    </row>
    <row r="674" spans="2:15">
      <c r="B674" s="46">
        <v>44354</v>
      </c>
      <c r="C674">
        <v>211.42272646828556</v>
      </c>
      <c r="D674">
        <v>31.43</v>
      </c>
      <c r="N674" s="46">
        <v>44354</v>
      </c>
      <c r="O674" t="s">
        <v>749</v>
      </c>
    </row>
    <row r="675" spans="2:15">
      <c r="B675" s="46">
        <v>44355</v>
      </c>
      <c r="C675">
        <v>213.62778271059807</v>
      </c>
      <c r="D675">
        <v>21.26</v>
      </c>
      <c r="N675" s="46">
        <v>44355</v>
      </c>
      <c r="O675" t="s">
        <v>374</v>
      </c>
    </row>
    <row r="676" spans="2:15">
      <c r="B676" s="46">
        <v>44356</v>
      </c>
      <c r="C676">
        <v>212.51147561968347</v>
      </c>
      <c r="D676">
        <v>24.89</v>
      </c>
      <c r="N676" s="46">
        <v>44356</v>
      </c>
      <c r="O676" t="s">
        <v>750</v>
      </c>
    </row>
    <row r="677" spans="2:15">
      <c r="B677" s="46">
        <v>44357</v>
      </c>
      <c r="C677">
        <v>209.33160907297002</v>
      </c>
      <c r="D677">
        <v>30.72</v>
      </c>
      <c r="N677" s="46">
        <v>44357</v>
      </c>
      <c r="O677" t="s">
        <v>751</v>
      </c>
    </row>
    <row r="678" spans="2:15">
      <c r="B678" s="46">
        <v>44358</v>
      </c>
      <c r="C678">
        <v>207.91393023332566</v>
      </c>
      <c r="D678">
        <v>21.42</v>
      </c>
      <c r="N678" s="46">
        <v>44358</v>
      </c>
      <c r="O678" t="s">
        <v>752</v>
      </c>
    </row>
    <row r="679" spans="2:15">
      <c r="B679" s="46">
        <v>44361</v>
      </c>
      <c r="C679">
        <v>207.30601187434436</v>
      </c>
      <c r="D679">
        <v>17.68</v>
      </c>
      <c r="N679" s="46">
        <v>44361</v>
      </c>
      <c r="O679" t="s">
        <v>753</v>
      </c>
    </row>
    <row r="680" spans="2:15">
      <c r="B680" s="46">
        <v>44362</v>
      </c>
      <c r="C680">
        <v>207.05248462981558</v>
      </c>
      <c r="D680">
        <v>14.85</v>
      </c>
      <c r="N680" s="46">
        <v>44362</v>
      </c>
      <c r="O680" t="s">
        <v>754</v>
      </c>
    </row>
    <row r="681" spans="2:15">
      <c r="B681" s="46">
        <v>44363</v>
      </c>
      <c r="C681">
        <v>207.84189416612753</v>
      </c>
      <c r="D681">
        <v>20.100000000000001</v>
      </c>
      <c r="N681" s="46">
        <v>44363</v>
      </c>
      <c r="O681" t="s">
        <v>755</v>
      </c>
    </row>
    <row r="682" spans="2:15">
      <c r="B682" s="46">
        <v>44364</v>
      </c>
      <c r="C682">
        <v>205.67180121092838</v>
      </c>
      <c r="D682">
        <v>21.48</v>
      </c>
      <c r="N682" s="46">
        <v>44364</v>
      </c>
      <c r="O682" t="s">
        <v>159</v>
      </c>
    </row>
    <row r="683" spans="2:15">
      <c r="B683" s="46">
        <v>44365</v>
      </c>
      <c r="C683">
        <v>204.56084172461141</v>
      </c>
      <c r="D683">
        <v>23.57</v>
      </c>
      <c r="N683" s="46">
        <v>44365</v>
      </c>
      <c r="O683" t="s">
        <v>756</v>
      </c>
    </row>
    <row r="684" spans="2:15">
      <c r="B684" s="46">
        <v>44368</v>
      </c>
      <c r="C684">
        <v>204.45102225511127</v>
      </c>
      <c r="D684">
        <v>19.07</v>
      </c>
      <c r="N684" s="46">
        <v>44368</v>
      </c>
      <c r="O684" t="s">
        <v>757</v>
      </c>
    </row>
    <row r="685" spans="2:15">
      <c r="B685" s="46">
        <v>44369</v>
      </c>
      <c r="C685">
        <v>205.09343701001566</v>
      </c>
      <c r="D685">
        <v>18.04</v>
      </c>
      <c r="N685" s="46">
        <v>44369</v>
      </c>
      <c r="O685" t="s">
        <v>758</v>
      </c>
    </row>
    <row r="686" spans="2:15">
      <c r="B686" s="46">
        <v>44370</v>
      </c>
      <c r="C686">
        <v>203.961421839623</v>
      </c>
      <c r="D686">
        <v>12.58</v>
      </c>
      <c r="N686" s="46">
        <v>44370</v>
      </c>
      <c r="O686" t="s">
        <v>759</v>
      </c>
    </row>
    <row r="687" spans="2:15">
      <c r="B687" s="46">
        <v>44371</v>
      </c>
      <c r="C687">
        <v>203.25691073496498</v>
      </c>
      <c r="D687">
        <v>22.44</v>
      </c>
      <c r="N687" s="46">
        <v>44371</v>
      </c>
      <c r="O687" t="s">
        <v>760</v>
      </c>
    </row>
    <row r="688" spans="2:15">
      <c r="B688" s="46">
        <v>44372</v>
      </c>
      <c r="C688">
        <v>205.03175217405652</v>
      </c>
      <c r="D688">
        <v>13.88</v>
      </c>
      <c r="N688" s="46">
        <v>44372</v>
      </c>
      <c r="O688" t="s">
        <v>761</v>
      </c>
    </row>
    <row r="689" spans="2:15">
      <c r="B689" s="46">
        <v>44375</v>
      </c>
      <c r="C689">
        <v>203.61445662642049</v>
      </c>
      <c r="D689">
        <v>14.63</v>
      </c>
      <c r="N689" s="46">
        <v>44375</v>
      </c>
      <c r="O689" t="s">
        <v>516</v>
      </c>
    </row>
    <row r="690" spans="2:15">
      <c r="B690" s="46">
        <v>44376</v>
      </c>
      <c r="C690">
        <v>203.30304954574319</v>
      </c>
      <c r="D690">
        <v>13.33</v>
      </c>
      <c r="N690" s="46">
        <v>44376</v>
      </c>
      <c r="O690" t="s">
        <v>762</v>
      </c>
    </row>
    <row r="691" spans="2:15">
      <c r="B691" s="46">
        <v>44377</v>
      </c>
      <c r="C691">
        <v>202.70608118243547</v>
      </c>
      <c r="D691">
        <v>15.94</v>
      </c>
      <c r="N691" s="46">
        <v>44377</v>
      </c>
      <c r="O691" t="s">
        <v>763</v>
      </c>
    </row>
    <row r="692" spans="2:15">
      <c r="B692" s="46">
        <v>44378</v>
      </c>
      <c r="C692">
        <v>202.9969550456743</v>
      </c>
      <c r="D692">
        <v>10.19</v>
      </c>
      <c r="N692" s="46">
        <v>44378</v>
      </c>
      <c r="O692" t="s">
        <v>764</v>
      </c>
    </row>
    <row r="693" spans="2:15">
      <c r="B693" s="46">
        <v>44379</v>
      </c>
      <c r="C693">
        <v>202.40607218216547</v>
      </c>
      <c r="D693">
        <v>12.7</v>
      </c>
      <c r="N693" s="46">
        <v>44379</v>
      </c>
      <c r="O693" t="s">
        <v>765</v>
      </c>
    </row>
    <row r="694" spans="2:15">
      <c r="B694" s="46">
        <v>44382</v>
      </c>
      <c r="C694">
        <v>203.63737448278206</v>
      </c>
      <c r="D694">
        <v>10.25</v>
      </c>
      <c r="N694" s="46">
        <v>44382</v>
      </c>
      <c r="O694" t="s">
        <v>766</v>
      </c>
    </row>
    <row r="695" spans="2:15">
      <c r="B695" s="46">
        <v>44383</v>
      </c>
      <c r="C695">
        <v>202.51134063507556</v>
      </c>
      <c r="D695">
        <v>11.09</v>
      </c>
      <c r="N695" s="46">
        <v>44383</v>
      </c>
      <c r="O695" t="s">
        <v>767</v>
      </c>
    </row>
    <row r="696" spans="2:15">
      <c r="B696" s="46">
        <v>44384</v>
      </c>
      <c r="C696">
        <v>203.73736828316643</v>
      </c>
      <c r="D696">
        <v>17.88</v>
      </c>
      <c r="N696" s="46">
        <v>44384</v>
      </c>
      <c r="O696" t="s">
        <v>768</v>
      </c>
    </row>
    <row r="697" spans="2:15">
      <c r="B697" s="46">
        <v>44385</v>
      </c>
      <c r="C697">
        <v>202.01737349412051</v>
      </c>
      <c r="D697">
        <v>20.93</v>
      </c>
      <c r="N697" s="46">
        <v>44385</v>
      </c>
      <c r="O697" t="s">
        <v>451</v>
      </c>
    </row>
    <row r="698" spans="2:15">
      <c r="B698" s="46">
        <v>44386</v>
      </c>
      <c r="C698">
        <v>201.35644340618899</v>
      </c>
      <c r="D698">
        <v>11.83</v>
      </c>
      <c r="N698" s="46">
        <v>44386</v>
      </c>
      <c r="O698" t="s">
        <v>769</v>
      </c>
    </row>
    <row r="699" spans="2:15">
      <c r="B699" s="46">
        <v>44389</v>
      </c>
      <c r="C699">
        <v>201.10241322895874</v>
      </c>
      <c r="D699">
        <v>13.09</v>
      </c>
      <c r="N699" s="46">
        <v>44389</v>
      </c>
      <c r="O699" t="s">
        <v>490</v>
      </c>
    </row>
    <row r="700" spans="2:15">
      <c r="B700" s="46">
        <v>44390</v>
      </c>
      <c r="C700">
        <v>201.84253182632241</v>
      </c>
      <c r="D700">
        <v>10.83</v>
      </c>
      <c r="N700" s="46">
        <v>44390</v>
      </c>
      <c r="O700" t="s">
        <v>770</v>
      </c>
    </row>
    <row r="701" spans="2:15">
      <c r="B701" s="46">
        <v>44391</v>
      </c>
      <c r="C701">
        <v>204.07734741443699</v>
      </c>
      <c r="D701">
        <v>20.48</v>
      </c>
      <c r="N701" s="46">
        <v>44391</v>
      </c>
      <c r="O701" t="s">
        <v>771</v>
      </c>
    </row>
    <row r="702" spans="2:15">
      <c r="B702" s="46">
        <v>44392</v>
      </c>
      <c r="C702">
        <v>206.22834602366751</v>
      </c>
      <c r="D702">
        <v>28.85</v>
      </c>
      <c r="N702" s="46">
        <v>44392</v>
      </c>
      <c r="O702" t="s">
        <v>772</v>
      </c>
    </row>
    <row r="703" spans="2:15">
      <c r="B703" s="46">
        <v>44393</v>
      </c>
      <c r="C703">
        <v>207.88336933045355</v>
      </c>
      <c r="D703">
        <v>29.02</v>
      </c>
      <c r="N703" s="46">
        <v>44393</v>
      </c>
      <c r="O703" t="s">
        <v>773</v>
      </c>
    </row>
    <row r="704" spans="2:15">
      <c r="B704" s="46">
        <v>44396</v>
      </c>
      <c r="C704">
        <v>207.75145426017983</v>
      </c>
      <c r="D704">
        <v>16.46</v>
      </c>
      <c r="N704" s="46">
        <v>44396</v>
      </c>
      <c r="O704" t="s">
        <v>774</v>
      </c>
    </row>
    <row r="705" spans="2:15">
      <c r="B705" s="46">
        <v>44397</v>
      </c>
      <c r="C705">
        <v>206.80951323760894</v>
      </c>
      <c r="D705">
        <v>23.66</v>
      </c>
      <c r="N705" s="46">
        <v>44397</v>
      </c>
      <c r="O705" t="s">
        <v>775</v>
      </c>
    </row>
    <row r="706" spans="2:15">
      <c r="B706" s="46">
        <v>44399</v>
      </c>
      <c r="C706">
        <v>206.99793002069978</v>
      </c>
      <c r="D706">
        <v>18.309999999999999</v>
      </c>
      <c r="N706" s="46">
        <v>44399</v>
      </c>
      <c r="O706" t="s">
        <v>776</v>
      </c>
    </row>
    <row r="707" spans="2:15">
      <c r="B707" s="46">
        <v>44400</v>
      </c>
      <c r="C707">
        <v>212.34457806512501</v>
      </c>
      <c r="D707">
        <v>44.53</v>
      </c>
      <c r="N707" s="46">
        <v>44400</v>
      </c>
      <c r="O707" t="s">
        <v>777</v>
      </c>
    </row>
    <row r="708" spans="2:15">
      <c r="B708" s="46">
        <v>44403</v>
      </c>
      <c r="C708">
        <v>211.16245858505653</v>
      </c>
      <c r="D708">
        <v>47.26</v>
      </c>
      <c r="N708" s="46">
        <v>44403</v>
      </c>
      <c r="O708" t="s">
        <v>778</v>
      </c>
    </row>
    <row r="709" spans="2:15">
      <c r="B709" s="46">
        <v>44404</v>
      </c>
      <c r="C709">
        <v>208.67462360558545</v>
      </c>
      <c r="D709">
        <v>24.44</v>
      </c>
      <c r="N709" s="46">
        <v>44404</v>
      </c>
      <c r="O709" t="s">
        <v>779</v>
      </c>
    </row>
    <row r="710" spans="2:15">
      <c r="B710" s="46">
        <v>44405</v>
      </c>
      <c r="C710">
        <v>209.09539990120217</v>
      </c>
      <c r="D710">
        <v>14.74</v>
      </c>
      <c r="N710" s="46">
        <v>44405</v>
      </c>
      <c r="O710" t="s">
        <v>346</v>
      </c>
    </row>
    <row r="711" spans="2:15">
      <c r="B711" s="46">
        <v>44406</v>
      </c>
      <c r="C711">
        <v>206.08008769280315</v>
      </c>
      <c r="D711">
        <v>15.6</v>
      </c>
      <c r="N711" s="46">
        <v>44406</v>
      </c>
      <c r="O711" t="s">
        <v>293</v>
      </c>
    </row>
    <row r="712" spans="2:15">
      <c r="B712" s="46">
        <v>44407</v>
      </c>
      <c r="C712">
        <v>204.96086292573506</v>
      </c>
      <c r="D712">
        <v>14.94</v>
      </c>
      <c r="N712" s="46">
        <v>44407</v>
      </c>
      <c r="O712" t="s">
        <v>780</v>
      </c>
    </row>
    <row r="713" spans="2:15">
      <c r="B713" s="46">
        <v>44410</v>
      </c>
      <c r="C713">
        <v>207.27616324122727</v>
      </c>
      <c r="D713">
        <v>9.67</v>
      </c>
      <c r="N713" s="46">
        <v>44410</v>
      </c>
      <c r="O713" t="s">
        <v>781</v>
      </c>
    </row>
    <row r="714" spans="2:15">
      <c r="B714" s="46">
        <v>44411</v>
      </c>
      <c r="C714">
        <v>209.87376577927762</v>
      </c>
      <c r="D714">
        <v>18.47</v>
      </c>
      <c r="N714" s="46">
        <v>44411</v>
      </c>
      <c r="O714" t="s">
        <v>782</v>
      </c>
    </row>
    <row r="715" spans="2:15">
      <c r="B715" s="46">
        <v>44412</v>
      </c>
      <c r="C715">
        <v>208.61293400190812</v>
      </c>
      <c r="D715">
        <v>11</v>
      </c>
      <c r="N715" s="46">
        <v>44412</v>
      </c>
      <c r="O715" t="s">
        <v>783</v>
      </c>
    </row>
    <row r="716" spans="2:15">
      <c r="B716" s="46">
        <v>44413</v>
      </c>
      <c r="C716">
        <v>215.18135714707009</v>
      </c>
      <c r="D716">
        <v>47.18</v>
      </c>
      <c r="N716" s="46">
        <v>44413</v>
      </c>
      <c r="O716" t="s">
        <v>784</v>
      </c>
    </row>
    <row r="717" spans="2:15">
      <c r="B717" s="46">
        <v>44414</v>
      </c>
      <c r="C717">
        <v>214.25985595337386</v>
      </c>
      <c r="D717">
        <v>23.58</v>
      </c>
      <c r="N717" s="46">
        <v>44414</v>
      </c>
      <c r="O717" t="s">
        <v>785</v>
      </c>
    </row>
    <row r="718" spans="2:15">
      <c r="B718" s="46">
        <v>44417</v>
      </c>
      <c r="C718">
        <v>213.8044898942878</v>
      </c>
      <c r="D718">
        <v>20.36</v>
      </c>
      <c r="N718" s="46">
        <v>44417</v>
      </c>
      <c r="O718" t="s">
        <v>786</v>
      </c>
    </row>
    <row r="719" spans="2:15">
      <c r="B719" s="46">
        <v>44418</v>
      </c>
      <c r="C719">
        <v>209.88882943344518</v>
      </c>
      <c r="D719">
        <v>18.16</v>
      </c>
      <c r="N719" s="46">
        <v>44418</v>
      </c>
      <c r="O719" t="s">
        <v>787</v>
      </c>
    </row>
    <row r="720" spans="2:15">
      <c r="B720" s="46">
        <v>44419</v>
      </c>
      <c r="C720">
        <v>208.6618937279425</v>
      </c>
      <c r="D720">
        <v>15.42</v>
      </c>
      <c r="N720" s="46">
        <v>44419</v>
      </c>
      <c r="O720" t="s">
        <v>788</v>
      </c>
    </row>
    <row r="721" spans="2:15">
      <c r="B721" s="46">
        <v>44420</v>
      </c>
      <c r="C721">
        <v>208.89749323008127</v>
      </c>
      <c r="D721">
        <v>27.69</v>
      </c>
      <c r="N721" s="46">
        <v>44420</v>
      </c>
      <c r="O721" t="s">
        <v>789</v>
      </c>
    </row>
    <row r="722" spans="2:15">
      <c r="B722" s="46">
        <v>44421</v>
      </c>
      <c r="C722">
        <v>211.42420624683788</v>
      </c>
      <c r="D722">
        <v>18.850000000000001</v>
      </c>
      <c r="N722" s="46">
        <v>44421</v>
      </c>
      <c r="O722" t="s">
        <v>790</v>
      </c>
    </row>
    <row r="723" spans="2:15">
      <c r="B723" s="46">
        <v>44424</v>
      </c>
      <c r="C723">
        <v>210.90548354257211</v>
      </c>
      <c r="D723">
        <v>11.19</v>
      </c>
      <c r="N723" s="46">
        <v>44424</v>
      </c>
      <c r="O723" t="s">
        <v>286</v>
      </c>
    </row>
    <row r="724" spans="2:15">
      <c r="B724" s="46">
        <v>44425</v>
      </c>
      <c r="C724">
        <v>209.21694657267238</v>
      </c>
      <c r="D724">
        <v>7.86</v>
      </c>
      <c r="N724" s="46">
        <v>44425</v>
      </c>
      <c r="O724" t="s">
        <v>397</v>
      </c>
    </row>
    <row r="725" spans="2:15">
      <c r="B725" s="46">
        <v>44426</v>
      </c>
      <c r="C725">
        <v>208.95250743008916</v>
      </c>
      <c r="D725">
        <v>10.74</v>
      </c>
      <c r="N725" s="46">
        <v>44426</v>
      </c>
      <c r="O725" t="s">
        <v>791</v>
      </c>
    </row>
    <row r="726" spans="2:15">
      <c r="B726" s="46">
        <v>44428</v>
      </c>
      <c r="C726">
        <v>208.90041780083558</v>
      </c>
      <c r="D726">
        <v>19.420000000000002</v>
      </c>
      <c r="N726" s="46">
        <v>44428</v>
      </c>
      <c r="O726" t="s">
        <v>792</v>
      </c>
    </row>
    <row r="727" spans="2:15">
      <c r="B727" s="46">
        <v>44431</v>
      </c>
      <c r="C727">
        <v>206.3255843724622</v>
      </c>
      <c r="D727">
        <v>9.94</v>
      </c>
      <c r="N727" s="46">
        <v>44431</v>
      </c>
      <c r="O727" t="s">
        <v>793</v>
      </c>
    </row>
    <row r="728" spans="2:15">
      <c r="B728" s="46">
        <v>44432</v>
      </c>
      <c r="C728">
        <v>205.75555539999581</v>
      </c>
      <c r="D728">
        <v>12.49</v>
      </c>
      <c r="N728" s="46">
        <v>44432</v>
      </c>
      <c r="O728" t="s">
        <v>565</v>
      </c>
    </row>
    <row r="729" spans="2:15">
      <c r="B729" s="46">
        <v>44433</v>
      </c>
      <c r="C729">
        <v>206.39339541134683</v>
      </c>
      <c r="D729">
        <v>10.59</v>
      </c>
      <c r="N729" s="46">
        <v>44433</v>
      </c>
      <c r="O729" t="s">
        <v>400</v>
      </c>
    </row>
    <row r="730" spans="2:15">
      <c r="B730" s="46">
        <v>44434</v>
      </c>
      <c r="C730">
        <v>204.61780174875213</v>
      </c>
      <c r="D730">
        <v>14.84</v>
      </c>
      <c r="N730" s="46">
        <v>44434</v>
      </c>
      <c r="O730" t="s">
        <v>794</v>
      </c>
    </row>
    <row r="731" spans="2:15">
      <c r="B731" s="46">
        <v>44435</v>
      </c>
      <c r="C731">
        <v>205.88682324331242</v>
      </c>
      <c r="D731">
        <v>10.48</v>
      </c>
      <c r="N731" s="46">
        <v>44435</v>
      </c>
      <c r="O731" t="s">
        <v>795</v>
      </c>
    </row>
    <row r="732" spans="2:15">
      <c r="B732" s="46">
        <v>44438</v>
      </c>
      <c r="C732">
        <v>207.97878616381129</v>
      </c>
      <c r="D732">
        <v>12.08</v>
      </c>
      <c r="N732" s="46">
        <v>44438</v>
      </c>
      <c r="O732" t="s">
        <v>140</v>
      </c>
    </row>
    <row r="733" spans="2:15">
      <c r="B733" s="46">
        <v>44439</v>
      </c>
      <c r="C733">
        <v>211.26640864102609</v>
      </c>
      <c r="D733">
        <v>25.81</v>
      </c>
      <c r="N733" s="46">
        <v>44439</v>
      </c>
      <c r="O733" t="s">
        <v>796</v>
      </c>
    </row>
    <row r="734" spans="2:15">
      <c r="B734" s="46">
        <v>44440</v>
      </c>
      <c r="C734">
        <v>209.51780901376617</v>
      </c>
      <c r="D734">
        <v>16.239999999999998</v>
      </c>
      <c r="N734" s="46">
        <v>44440</v>
      </c>
      <c r="O734" t="s">
        <v>797</v>
      </c>
    </row>
    <row r="735" spans="2:15">
      <c r="B735" s="46">
        <v>44441</v>
      </c>
      <c r="C735">
        <v>209.74748303020365</v>
      </c>
      <c r="D735">
        <v>14.32</v>
      </c>
      <c r="N735" s="46">
        <v>44441</v>
      </c>
      <c r="O735" t="s">
        <v>729</v>
      </c>
    </row>
    <row r="736" spans="2:15">
      <c r="B736" s="46">
        <v>44442</v>
      </c>
      <c r="C736">
        <v>210.5913657540041</v>
      </c>
      <c r="D736">
        <v>10.23</v>
      </c>
      <c r="N736" s="46">
        <v>44442</v>
      </c>
      <c r="O736" t="s">
        <v>798</v>
      </c>
    </row>
    <row r="737" spans="2:15">
      <c r="B737" s="46">
        <v>44445</v>
      </c>
      <c r="C737">
        <v>209.31297740459911</v>
      </c>
      <c r="D737">
        <v>10.63</v>
      </c>
      <c r="N737" s="46">
        <v>44445</v>
      </c>
      <c r="O737" t="s">
        <v>799</v>
      </c>
    </row>
    <row r="738" spans="2:15">
      <c r="B738" s="46">
        <v>44446</v>
      </c>
      <c r="C738">
        <v>211.72522814830666</v>
      </c>
      <c r="D738">
        <v>37.49</v>
      </c>
      <c r="N738" s="46">
        <v>44446</v>
      </c>
      <c r="O738" t="s">
        <v>800</v>
      </c>
    </row>
    <row r="739" spans="2:15">
      <c r="B739" s="46">
        <v>44447</v>
      </c>
      <c r="C739">
        <v>211.25507012168293</v>
      </c>
      <c r="D739">
        <v>17.23</v>
      </c>
      <c r="N739" s="46">
        <v>44447</v>
      </c>
      <c r="O739" t="s">
        <v>568</v>
      </c>
    </row>
    <row r="740" spans="2:15">
      <c r="B740" s="46">
        <v>44448</v>
      </c>
      <c r="C740">
        <v>212.6359660262423</v>
      </c>
      <c r="D740">
        <v>19.05</v>
      </c>
      <c r="N740" s="46">
        <v>44448</v>
      </c>
      <c r="O740" t="s">
        <v>801</v>
      </c>
    </row>
    <row r="741" spans="2:15">
      <c r="B741" s="46">
        <v>44452</v>
      </c>
      <c r="C741">
        <v>214.13479642945353</v>
      </c>
      <c r="D741">
        <v>16.04</v>
      </c>
      <c r="N741" s="46">
        <v>44452</v>
      </c>
      <c r="O741" t="s">
        <v>802</v>
      </c>
    </row>
    <row r="742" spans="2:15">
      <c r="B742" s="46">
        <v>44453</v>
      </c>
      <c r="C742">
        <v>216.08033668936125</v>
      </c>
      <c r="D742">
        <v>19.62</v>
      </c>
      <c r="N742" s="46">
        <v>44453</v>
      </c>
      <c r="O742" t="s">
        <v>803</v>
      </c>
    </row>
    <row r="743" spans="2:15">
      <c r="B743" s="46">
        <v>44454</v>
      </c>
      <c r="C743">
        <v>216.00108000540004</v>
      </c>
      <c r="D743">
        <v>20.25</v>
      </c>
      <c r="N743" s="46">
        <v>44454</v>
      </c>
      <c r="O743" t="s">
        <v>716</v>
      </c>
    </row>
    <row r="744" spans="2:15">
      <c r="B744" s="46">
        <v>44455</v>
      </c>
      <c r="C744">
        <v>230.59250531886721</v>
      </c>
      <c r="D744">
        <v>149.24</v>
      </c>
      <c r="N744" s="46">
        <v>44455</v>
      </c>
      <c r="O744" t="s">
        <v>804</v>
      </c>
    </row>
    <row r="745" spans="2:15">
      <c r="B745" s="46">
        <v>44456</v>
      </c>
      <c r="C745">
        <v>231.14607051680125</v>
      </c>
      <c r="D745">
        <v>79.5</v>
      </c>
      <c r="N745" s="46">
        <v>44456</v>
      </c>
      <c r="O745" t="s">
        <v>805</v>
      </c>
    </row>
    <row r="746" spans="2:15">
      <c r="B746" s="46">
        <v>44459</v>
      </c>
      <c r="C746">
        <v>233.72382293183165</v>
      </c>
      <c r="D746">
        <v>70.39</v>
      </c>
      <c r="N746" s="46">
        <v>44459</v>
      </c>
      <c r="O746" t="s">
        <v>806</v>
      </c>
    </row>
    <row r="747" spans="2:15">
      <c r="B747" s="46">
        <v>44460</v>
      </c>
      <c r="C747">
        <v>241.4198486102614</v>
      </c>
      <c r="D747">
        <v>56.67</v>
      </c>
      <c r="N747" s="46">
        <v>44460</v>
      </c>
      <c r="O747" t="s">
        <v>807</v>
      </c>
    </row>
    <row r="748" spans="2:15">
      <c r="B748" s="46">
        <v>44461</v>
      </c>
      <c r="C748">
        <v>243.47979117733226</v>
      </c>
      <c r="D748">
        <v>52.62</v>
      </c>
      <c r="N748" s="46">
        <v>44461</v>
      </c>
      <c r="O748" t="s">
        <v>808</v>
      </c>
    </row>
    <row r="749" spans="2:15">
      <c r="B749" s="46">
        <v>44462</v>
      </c>
      <c r="C749">
        <v>242.50994290765919</v>
      </c>
      <c r="D749">
        <v>21.79</v>
      </c>
      <c r="N749" s="46">
        <v>44462</v>
      </c>
      <c r="O749" t="s">
        <v>809</v>
      </c>
    </row>
    <row r="750" spans="2:15">
      <c r="B750" s="46">
        <v>44463</v>
      </c>
      <c r="C750">
        <v>238.4898278012428</v>
      </c>
      <c r="D750">
        <v>24.82</v>
      </c>
      <c r="N750" s="46">
        <v>44463</v>
      </c>
      <c r="O750" t="s">
        <v>810</v>
      </c>
    </row>
    <row r="751" spans="2:15">
      <c r="B751" s="46">
        <v>44466</v>
      </c>
      <c r="C751">
        <v>238.69761302386974</v>
      </c>
      <c r="D751">
        <v>22.89</v>
      </c>
      <c r="N751" s="46">
        <v>44466</v>
      </c>
      <c r="O751" t="s">
        <v>811</v>
      </c>
    </row>
    <row r="752" spans="2:15">
      <c r="B752" s="46">
        <v>44467</v>
      </c>
      <c r="C752">
        <v>237.75951038041524</v>
      </c>
      <c r="D752">
        <v>15.71</v>
      </c>
      <c r="N752" s="46">
        <v>44467</v>
      </c>
      <c r="O752" t="s">
        <v>812</v>
      </c>
    </row>
    <row r="753" spans="2:15">
      <c r="B753" s="46">
        <v>44468</v>
      </c>
      <c r="C753">
        <v>238.09642855357166</v>
      </c>
      <c r="D753">
        <v>15.45</v>
      </c>
      <c r="N753" s="46">
        <v>44468</v>
      </c>
      <c r="O753" t="s">
        <v>813</v>
      </c>
    </row>
    <row r="754" spans="2:15">
      <c r="B754" s="46">
        <v>44469</v>
      </c>
      <c r="C754">
        <v>236.16936588800283</v>
      </c>
      <c r="D754">
        <v>16.36</v>
      </c>
      <c r="N754" s="46">
        <v>44469</v>
      </c>
      <c r="O754" t="s">
        <v>714</v>
      </c>
    </row>
    <row r="755" spans="2:15">
      <c r="B755" s="46">
        <v>44470</v>
      </c>
      <c r="C755">
        <v>235.35800217207384</v>
      </c>
      <c r="D755">
        <v>15.96</v>
      </c>
      <c r="N755" s="46">
        <v>44470</v>
      </c>
      <c r="O755" t="s">
        <v>814</v>
      </c>
    </row>
    <row r="756" spans="2:15">
      <c r="B756" s="46">
        <v>44473</v>
      </c>
      <c r="C756">
        <v>236.58746086457415</v>
      </c>
      <c r="D756">
        <v>10.69</v>
      </c>
      <c r="N756" s="46">
        <v>44473</v>
      </c>
      <c r="O756" t="s">
        <v>815</v>
      </c>
    </row>
    <row r="757" spans="2:15">
      <c r="B757" s="46">
        <v>44474</v>
      </c>
      <c r="C757">
        <v>234.71877750220017</v>
      </c>
      <c r="D757">
        <v>9.2200000000000006</v>
      </c>
      <c r="N757" s="46">
        <v>44474</v>
      </c>
      <c r="O757" t="s">
        <v>816</v>
      </c>
    </row>
    <row r="758" spans="2:15">
      <c r="B758" s="46">
        <v>44475</v>
      </c>
      <c r="C758">
        <v>231.28399874781593</v>
      </c>
      <c r="D758">
        <v>17.510000000000002</v>
      </c>
      <c r="N758" s="46">
        <v>44475</v>
      </c>
      <c r="O758" t="s">
        <v>817</v>
      </c>
    </row>
    <row r="759" spans="2:15">
      <c r="B759" s="46">
        <v>44476</v>
      </c>
      <c r="C759">
        <v>232.93276297553982</v>
      </c>
      <c r="D759">
        <v>10.37</v>
      </c>
      <c r="N759" s="46">
        <v>44476</v>
      </c>
      <c r="O759" t="s">
        <v>407</v>
      </c>
    </row>
    <row r="760" spans="2:15">
      <c r="B760" s="46">
        <v>44477</v>
      </c>
      <c r="C760">
        <v>231.71251247567366</v>
      </c>
      <c r="D760">
        <v>9.74</v>
      </c>
      <c r="N760" s="46">
        <v>44477</v>
      </c>
      <c r="O760" t="s">
        <v>818</v>
      </c>
    </row>
    <row r="761" spans="2:15">
      <c r="B761" s="46">
        <v>44480</v>
      </c>
      <c r="C761">
        <v>237.98479216694625</v>
      </c>
      <c r="D761">
        <v>21.18</v>
      </c>
      <c r="N761" s="46">
        <v>44480</v>
      </c>
      <c r="O761" t="s">
        <v>819</v>
      </c>
    </row>
    <row r="762" spans="2:15">
      <c r="B762" s="46">
        <v>44481</v>
      </c>
      <c r="C762">
        <v>241.26694642833931</v>
      </c>
      <c r="D762">
        <v>29.22</v>
      </c>
      <c r="N762" s="46">
        <v>44481</v>
      </c>
      <c r="O762" t="s">
        <v>820</v>
      </c>
    </row>
    <row r="763" spans="2:15">
      <c r="B763" s="46">
        <v>44482</v>
      </c>
      <c r="C763">
        <v>249.11853823799618</v>
      </c>
      <c r="D763">
        <v>50.16</v>
      </c>
      <c r="N763" s="46">
        <v>44482</v>
      </c>
      <c r="O763" t="s">
        <v>821</v>
      </c>
    </row>
    <row r="764" spans="2:15">
      <c r="B764" s="46">
        <v>44483</v>
      </c>
      <c r="C764">
        <v>256.4743400696795</v>
      </c>
      <c r="D764">
        <v>85.41</v>
      </c>
      <c r="N764" s="46">
        <v>44483</v>
      </c>
      <c r="O764" t="s">
        <v>822</v>
      </c>
    </row>
    <row r="765" spans="2:15">
      <c r="B765" s="46">
        <v>44487</v>
      </c>
      <c r="C765">
        <v>262.48857767282453</v>
      </c>
      <c r="D765">
        <v>60.29</v>
      </c>
      <c r="N765" s="46">
        <v>44487</v>
      </c>
      <c r="O765" t="s">
        <v>823</v>
      </c>
    </row>
    <row r="766" spans="2:15">
      <c r="B766" s="46">
        <v>44488</v>
      </c>
      <c r="C766">
        <v>246.10553870045868</v>
      </c>
      <c r="D766">
        <v>59.06</v>
      </c>
      <c r="N766" s="46">
        <v>44488</v>
      </c>
      <c r="O766" t="s">
        <v>824</v>
      </c>
    </row>
    <row r="767" spans="2:15">
      <c r="B767" s="46">
        <v>44489</v>
      </c>
      <c r="C767">
        <v>246.59358856669724</v>
      </c>
      <c r="D767">
        <v>47.82</v>
      </c>
      <c r="N767" s="46">
        <v>44489</v>
      </c>
      <c r="O767" t="s">
        <v>825</v>
      </c>
    </row>
    <row r="768" spans="2:15">
      <c r="B768" s="46">
        <v>44490</v>
      </c>
      <c r="C768">
        <v>244.71884335093802</v>
      </c>
      <c r="D768">
        <v>22.52</v>
      </c>
      <c r="N768" s="46">
        <v>44490</v>
      </c>
      <c r="O768" t="s">
        <v>826</v>
      </c>
    </row>
    <row r="769" spans="2:15">
      <c r="B769" s="46">
        <v>44491</v>
      </c>
      <c r="C769">
        <v>236.67834053071564</v>
      </c>
      <c r="D769">
        <v>35.54</v>
      </c>
      <c r="N769" s="46">
        <v>44491</v>
      </c>
      <c r="O769" t="s">
        <v>827</v>
      </c>
    </row>
    <row r="770" spans="2:15">
      <c r="B770" s="46">
        <v>44494</v>
      </c>
      <c r="C770">
        <v>233.43151325428934</v>
      </c>
      <c r="D770">
        <v>22.33</v>
      </c>
      <c r="N770" s="46">
        <v>44494</v>
      </c>
      <c r="O770" t="s">
        <v>828</v>
      </c>
    </row>
    <row r="771" spans="2:15">
      <c r="B771" s="46">
        <v>44495</v>
      </c>
      <c r="C771">
        <v>236.66663000516928</v>
      </c>
      <c r="D771">
        <v>18.93</v>
      </c>
      <c r="N771" s="46">
        <v>44495</v>
      </c>
      <c r="O771" t="s">
        <v>649</v>
      </c>
    </row>
    <row r="772" spans="2:15">
      <c r="B772" s="46">
        <v>44496</v>
      </c>
      <c r="C772">
        <v>238.43235600565561</v>
      </c>
      <c r="D772">
        <v>25.91</v>
      </c>
      <c r="N772" s="46">
        <v>44496</v>
      </c>
      <c r="O772" t="s">
        <v>829</v>
      </c>
    </row>
    <row r="773" spans="2:15">
      <c r="B773" s="46">
        <v>44497</v>
      </c>
      <c r="C773">
        <v>225.22612663091331</v>
      </c>
      <c r="D773">
        <v>46.28</v>
      </c>
      <c r="N773" s="46">
        <v>44497</v>
      </c>
      <c r="O773" t="s">
        <v>830</v>
      </c>
    </row>
    <row r="774" spans="2:15">
      <c r="B774" s="46">
        <v>44498</v>
      </c>
      <c r="C774">
        <v>223.21875037503148</v>
      </c>
      <c r="D774">
        <v>26.64</v>
      </c>
      <c r="N774" s="46">
        <v>44498</v>
      </c>
      <c r="O774" t="s">
        <v>831</v>
      </c>
    </row>
    <row r="775" spans="2:15">
      <c r="B775" s="46">
        <v>44501</v>
      </c>
      <c r="C775">
        <v>226.81280270035711</v>
      </c>
      <c r="D775">
        <v>23.2</v>
      </c>
      <c r="N775" s="46">
        <v>44501</v>
      </c>
      <c r="O775" t="s">
        <v>832</v>
      </c>
    </row>
    <row r="776" spans="2:15">
      <c r="B776" s="46">
        <v>44502</v>
      </c>
      <c r="C776">
        <v>225.61240868247754</v>
      </c>
      <c r="D776">
        <v>14.34</v>
      </c>
      <c r="N776" s="46">
        <v>44502</v>
      </c>
      <c r="O776" t="s">
        <v>833</v>
      </c>
    </row>
    <row r="777" spans="2:15">
      <c r="B777" s="46">
        <v>44503</v>
      </c>
      <c r="C777">
        <v>222.48114736063047</v>
      </c>
      <c r="D777">
        <v>17.84</v>
      </c>
      <c r="N777" s="46">
        <v>44503</v>
      </c>
      <c r="O777" t="s">
        <v>834</v>
      </c>
    </row>
    <row r="778" spans="2:15">
      <c r="B778" s="46">
        <v>44504</v>
      </c>
      <c r="C778">
        <v>226.5083224686658</v>
      </c>
      <c r="D778">
        <v>7.02</v>
      </c>
      <c r="N778" s="46">
        <v>44504</v>
      </c>
      <c r="O778" t="s">
        <v>835</v>
      </c>
    </row>
    <row r="779" spans="2:15">
      <c r="B779" s="46">
        <v>44508</v>
      </c>
      <c r="C779">
        <v>229.76714329850833</v>
      </c>
      <c r="D779">
        <v>20.27</v>
      </c>
      <c r="N779" s="46">
        <v>44508</v>
      </c>
      <c r="O779" t="s">
        <v>836</v>
      </c>
    </row>
    <row r="780" spans="2:15">
      <c r="B780" s="46">
        <v>44509</v>
      </c>
      <c r="C780">
        <v>228.76052298405727</v>
      </c>
      <c r="D780">
        <v>11.52</v>
      </c>
      <c r="N780" s="46">
        <v>44509</v>
      </c>
      <c r="O780" t="s">
        <v>837</v>
      </c>
    </row>
    <row r="781" spans="2:15">
      <c r="B781" s="46">
        <v>44510</v>
      </c>
      <c r="C781">
        <v>230.82876375373465</v>
      </c>
      <c r="D781">
        <v>13.43</v>
      </c>
      <c r="N781" s="46">
        <v>44510</v>
      </c>
      <c r="O781" t="s">
        <v>150</v>
      </c>
    </row>
    <row r="782" spans="2:15">
      <c r="B782" s="46">
        <v>44511</v>
      </c>
      <c r="C782">
        <v>230.00851031488165</v>
      </c>
      <c r="D782">
        <v>8.1300000000000008</v>
      </c>
      <c r="N782" s="46">
        <v>44511</v>
      </c>
      <c r="O782" t="s">
        <v>404</v>
      </c>
    </row>
    <row r="783" spans="2:15">
      <c r="B783" s="46">
        <v>44512</v>
      </c>
      <c r="C783">
        <v>232.87065829705455</v>
      </c>
      <c r="D783">
        <v>11.86</v>
      </c>
      <c r="N783" s="46">
        <v>44512</v>
      </c>
      <c r="O783" t="s">
        <v>838</v>
      </c>
    </row>
    <row r="784" spans="2:15">
      <c r="B784" s="46">
        <v>44515</v>
      </c>
      <c r="C784">
        <v>238.04691553783505</v>
      </c>
      <c r="D784">
        <v>38.76</v>
      </c>
      <c r="N784" s="46">
        <v>44515</v>
      </c>
      <c r="O784" t="s">
        <v>745</v>
      </c>
    </row>
    <row r="785" spans="2:15">
      <c r="B785" s="46">
        <v>44516</v>
      </c>
      <c r="C785">
        <v>235.47613785130147</v>
      </c>
      <c r="D785">
        <v>14.68</v>
      </c>
      <c r="N785" s="46">
        <v>44516</v>
      </c>
      <c r="O785" t="s">
        <v>839</v>
      </c>
    </row>
    <row r="786" spans="2:15">
      <c r="B786" s="46">
        <v>44517</v>
      </c>
      <c r="C786">
        <v>239.45881308414951</v>
      </c>
      <c r="D786">
        <v>46.7</v>
      </c>
      <c r="N786" s="46">
        <v>44517</v>
      </c>
      <c r="O786" t="s">
        <v>840</v>
      </c>
    </row>
    <row r="787" spans="2:15">
      <c r="B787" s="46">
        <v>44518</v>
      </c>
      <c r="C787">
        <v>237.51995167594077</v>
      </c>
      <c r="D787">
        <v>20.23</v>
      </c>
      <c r="N787" s="46">
        <v>44518</v>
      </c>
      <c r="O787" t="s">
        <v>602</v>
      </c>
    </row>
    <row r="788" spans="2:15">
      <c r="B788" s="46">
        <v>44522</v>
      </c>
      <c r="C788">
        <v>230.96420804983785</v>
      </c>
      <c r="D788">
        <v>22.57</v>
      </c>
      <c r="N788" s="46">
        <v>44522</v>
      </c>
      <c r="O788" t="s">
        <v>841</v>
      </c>
    </row>
    <row r="789" spans="2:15">
      <c r="B789" s="46">
        <v>44523</v>
      </c>
      <c r="C789">
        <v>231.59305220843376</v>
      </c>
      <c r="D789">
        <v>13.43</v>
      </c>
      <c r="N789" s="46">
        <v>44523</v>
      </c>
      <c r="O789" t="s">
        <v>150</v>
      </c>
    </row>
    <row r="790" spans="2:15">
      <c r="B790" s="46">
        <v>44524</v>
      </c>
      <c r="C790">
        <v>227.73826002768462</v>
      </c>
      <c r="D790">
        <v>14.14</v>
      </c>
      <c r="N790" s="46">
        <v>44524</v>
      </c>
      <c r="O790" t="s">
        <v>246</v>
      </c>
    </row>
    <row r="791" spans="2:15">
      <c r="B791" s="46">
        <v>44525</v>
      </c>
      <c r="C791">
        <v>231.26346037326101</v>
      </c>
      <c r="D791">
        <v>23.9</v>
      </c>
      <c r="N791" s="46">
        <v>44525</v>
      </c>
      <c r="O791" t="s">
        <v>842</v>
      </c>
    </row>
    <row r="792" spans="2:15">
      <c r="B792" s="46">
        <v>44526</v>
      </c>
      <c r="C792">
        <v>224.07080637481442</v>
      </c>
      <c r="D792">
        <v>27.03</v>
      </c>
      <c r="N792" s="46">
        <v>44526</v>
      </c>
      <c r="O792" t="s">
        <v>843</v>
      </c>
    </row>
    <row r="793" spans="2:15">
      <c r="B793" s="46">
        <v>44529</v>
      </c>
      <c r="C793">
        <v>221.52481077880722</v>
      </c>
      <c r="D793">
        <v>22.13</v>
      </c>
      <c r="N793" s="46">
        <v>44529</v>
      </c>
      <c r="O793" t="s">
        <v>669</v>
      </c>
    </row>
    <row r="794" spans="2:15">
      <c r="B794" s="46">
        <v>44530</v>
      </c>
      <c r="C794">
        <v>221.15353845661531</v>
      </c>
      <c r="D794">
        <v>23.5</v>
      </c>
      <c r="N794" s="46">
        <v>44530</v>
      </c>
      <c r="O794" t="s">
        <v>844</v>
      </c>
    </row>
    <row r="795" spans="2:15">
      <c r="B795" s="46">
        <v>44531</v>
      </c>
      <c r="C795">
        <v>221.89245565650768</v>
      </c>
      <c r="D795">
        <v>13</v>
      </c>
      <c r="N795" s="46">
        <v>44531</v>
      </c>
      <c r="O795" t="s">
        <v>845</v>
      </c>
    </row>
    <row r="796" spans="2:15">
      <c r="B796" s="46">
        <v>44532</v>
      </c>
      <c r="C796">
        <v>225.41393377059671</v>
      </c>
      <c r="D796">
        <v>15.9</v>
      </c>
      <c r="N796" s="46">
        <v>44532</v>
      </c>
      <c r="O796" t="s">
        <v>846</v>
      </c>
    </row>
    <row r="797" spans="2:15">
      <c r="B797" s="46">
        <v>44533</v>
      </c>
      <c r="C797">
        <v>221.68746518161569</v>
      </c>
      <c r="D797">
        <v>13.79</v>
      </c>
      <c r="N797" s="46">
        <v>44533</v>
      </c>
      <c r="O797" t="s">
        <v>847</v>
      </c>
    </row>
    <row r="798" spans="2:15">
      <c r="B798" s="46">
        <v>44536</v>
      </c>
      <c r="C798">
        <v>217.93683132449385</v>
      </c>
      <c r="D798">
        <v>13.14</v>
      </c>
      <c r="N798" s="46">
        <v>44536</v>
      </c>
      <c r="O798" t="s">
        <v>848</v>
      </c>
    </row>
    <row r="799" spans="2:15">
      <c r="B799" s="46">
        <v>44537</v>
      </c>
      <c r="C799">
        <v>220.62220160259807</v>
      </c>
      <c r="D799">
        <v>8.9</v>
      </c>
      <c r="N799" s="46">
        <v>44537</v>
      </c>
      <c r="O799" t="s">
        <v>219</v>
      </c>
    </row>
    <row r="800" spans="2:15">
      <c r="B800" s="46">
        <v>44538</v>
      </c>
      <c r="C800">
        <v>224.90614330205611</v>
      </c>
      <c r="D800">
        <v>9.86</v>
      </c>
      <c r="N800" s="46">
        <v>44538</v>
      </c>
      <c r="O800" t="s">
        <v>849</v>
      </c>
    </row>
    <row r="801" spans="2:15">
      <c r="B801" s="46">
        <v>44539</v>
      </c>
      <c r="C801">
        <v>235.29058987570781</v>
      </c>
      <c r="D801">
        <v>38.24</v>
      </c>
      <c r="N801" s="46">
        <v>44539</v>
      </c>
      <c r="O801" t="s">
        <v>850</v>
      </c>
    </row>
    <row r="802" spans="2:15">
      <c r="B802" s="46">
        <v>44540</v>
      </c>
      <c r="C802">
        <v>236.09291721248363</v>
      </c>
      <c r="D802">
        <v>35.159999999999997</v>
      </c>
      <c r="N802" s="46">
        <v>44540</v>
      </c>
      <c r="O802" t="s">
        <v>851</v>
      </c>
    </row>
    <row r="803" spans="2:15">
      <c r="B803" s="46">
        <v>44543</v>
      </c>
      <c r="C803">
        <v>234.61501536098308</v>
      </c>
      <c r="D803">
        <v>22.05</v>
      </c>
      <c r="N803" s="46">
        <v>44543</v>
      </c>
      <c r="O803" t="s">
        <v>852</v>
      </c>
    </row>
    <row r="804" spans="2:15">
      <c r="B804" s="46">
        <v>44544</v>
      </c>
      <c r="C804">
        <v>228.65853658536585</v>
      </c>
      <c r="D804">
        <v>37.51</v>
      </c>
      <c r="N804" s="46">
        <v>44544</v>
      </c>
      <c r="O804" t="s">
        <v>853</v>
      </c>
    </row>
    <row r="805" spans="2:15">
      <c r="B805" s="46">
        <v>44545</v>
      </c>
      <c r="C805">
        <v>224.09459482437006</v>
      </c>
      <c r="D805">
        <v>34.65</v>
      </c>
      <c r="N805" s="46">
        <v>44545</v>
      </c>
      <c r="O805" t="s">
        <v>571</v>
      </c>
    </row>
    <row r="806" spans="2:15">
      <c r="B806" s="46">
        <v>44546</v>
      </c>
      <c r="C806">
        <v>222.91136847979249</v>
      </c>
      <c r="D806">
        <v>24.2</v>
      </c>
      <c r="N806" s="46">
        <v>44546</v>
      </c>
      <c r="O806" t="s">
        <v>854</v>
      </c>
    </row>
    <row r="807" spans="2:15">
      <c r="B807" s="46">
        <v>44547</v>
      </c>
      <c r="C807">
        <v>217.99839564383291</v>
      </c>
      <c r="D807">
        <v>29.68</v>
      </c>
      <c r="N807" s="46">
        <v>44547</v>
      </c>
      <c r="O807" t="s">
        <v>855</v>
      </c>
    </row>
    <row r="808" spans="2:15">
      <c r="B808" s="46">
        <v>44550</v>
      </c>
      <c r="C808">
        <v>212.45417581483278</v>
      </c>
      <c r="D808">
        <v>37.340000000000003</v>
      </c>
      <c r="N808" s="46">
        <v>44550</v>
      </c>
      <c r="O808" t="s">
        <v>856</v>
      </c>
    </row>
    <row r="809" spans="2:15">
      <c r="B809" s="46">
        <v>44551</v>
      </c>
      <c r="C809">
        <v>212.49893750531245</v>
      </c>
      <c r="D809">
        <v>19.399999999999999</v>
      </c>
      <c r="N809" s="46">
        <v>44551</v>
      </c>
      <c r="O809" t="s">
        <v>857</v>
      </c>
    </row>
    <row r="810" spans="2:15">
      <c r="B810" s="46">
        <v>44552</v>
      </c>
      <c r="C810">
        <v>212.00508812211493</v>
      </c>
      <c r="D810">
        <v>17.239999999999998</v>
      </c>
      <c r="N810" s="46">
        <v>44552</v>
      </c>
      <c r="O810" t="s">
        <v>858</v>
      </c>
    </row>
    <row r="811" spans="2:15">
      <c r="B811" s="46">
        <v>44553</v>
      </c>
      <c r="C811">
        <v>217.24568857785553</v>
      </c>
      <c r="D811">
        <v>22.21</v>
      </c>
      <c r="N811" s="46">
        <v>44553</v>
      </c>
      <c r="O811" t="s">
        <v>859</v>
      </c>
    </row>
    <row r="812" spans="2:15">
      <c r="B812" s="46">
        <v>44554</v>
      </c>
      <c r="C812">
        <v>217.99302422322484</v>
      </c>
      <c r="D812">
        <v>16.579999999999998</v>
      </c>
      <c r="N812" s="46">
        <v>44554</v>
      </c>
      <c r="O812" t="s">
        <v>860</v>
      </c>
    </row>
    <row r="813" spans="2:15">
      <c r="B813" s="46">
        <v>44557</v>
      </c>
      <c r="C813">
        <v>217.5545686459416</v>
      </c>
      <c r="D813">
        <v>8.15</v>
      </c>
      <c r="N813" s="46">
        <v>44557</v>
      </c>
      <c r="O813" t="s">
        <v>861</v>
      </c>
    </row>
    <row r="814" spans="2:15">
      <c r="B814" s="46">
        <v>44558</v>
      </c>
      <c r="C814">
        <v>220.02469715982662</v>
      </c>
      <c r="D814">
        <v>11.57</v>
      </c>
      <c r="N814" s="46">
        <v>44558</v>
      </c>
      <c r="O814" t="s">
        <v>862</v>
      </c>
    </row>
    <row r="815" spans="2:15">
      <c r="B815" s="46">
        <v>44559</v>
      </c>
      <c r="C815">
        <v>216.78251737760664</v>
      </c>
      <c r="D815">
        <v>11.48</v>
      </c>
      <c r="N815" s="46">
        <v>44559</v>
      </c>
      <c r="O815" t="s">
        <v>148</v>
      </c>
    </row>
    <row r="816" spans="2:15">
      <c r="B816" s="46">
        <v>44560</v>
      </c>
      <c r="C816">
        <v>216.00756026460925</v>
      </c>
      <c r="D816">
        <v>9.74</v>
      </c>
      <c r="N816" s="46">
        <v>44560</v>
      </c>
      <c r="O816" t="s">
        <v>818</v>
      </c>
    </row>
    <row r="817" spans="2:15">
      <c r="B817" s="46">
        <v>44561</v>
      </c>
      <c r="C817">
        <v>218.02928721771434</v>
      </c>
      <c r="D817">
        <v>7.58</v>
      </c>
      <c r="N817" s="46">
        <v>44561</v>
      </c>
      <c r="O817" t="s">
        <v>863</v>
      </c>
    </row>
    <row r="818" spans="2:15">
      <c r="B818" s="46">
        <v>44564</v>
      </c>
      <c r="C818">
        <v>219.08948370478217</v>
      </c>
      <c r="D818">
        <v>7.77</v>
      </c>
      <c r="N818" s="46">
        <v>44564</v>
      </c>
      <c r="O818" t="s">
        <v>623</v>
      </c>
    </row>
    <row r="819" spans="2:15">
      <c r="B819" s="46">
        <v>44565</v>
      </c>
      <c r="C819">
        <v>220.23854759552503</v>
      </c>
      <c r="D819">
        <v>9.0500000000000007</v>
      </c>
      <c r="N819" s="46">
        <v>44565</v>
      </c>
      <c r="O819" t="s">
        <v>306</v>
      </c>
    </row>
    <row r="820" spans="2:15">
      <c r="B820" s="46">
        <v>44566</v>
      </c>
      <c r="C820">
        <v>220.54691234322721</v>
      </c>
      <c r="D820">
        <v>11.23</v>
      </c>
      <c r="N820" s="46">
        <v>44566</v>
      </c>
      <c r="O820" t="s">
        <v>864</v>
      </c>
    </row>
    <row r="821" spans="2:15">
      <c r="B821" s="46">
        <v>44567</v>
      </c>
      <c r="C821">
        <v>218.71837234327683</v>
      </c>
      <c r="D821">
        <v>8.9499999999999993</v>
      </c>
      <c r="N821" s="46">
        <v>44567</v>
      </c>
      <c r="O821" t="s">
        <v>178</v>
      </c>
    </row>
    <row r="822" spans="2:15">
      <c r="B822" s="46">
        <v>44568</v>
      </c>
      <c r="C822">
        <v>218.403057642807</v>
      </c>
      <c r="D822">
        <v>8.86</v>
      </c>
      <c r="N822" s="46">
        <v>44568</v>
      </c>
      <c r="O822" t="s">
        <v>180</v>
      </c>
    </row>
    <row r="823" spans="2:15">
      <c r="B823" s="46">
        <v>44571</v>
      </c>
      <c r="C823">
        <v>223.24999200179161</v>
      </c>
      <c r="D823">
        <v>15.84</v>
      </c>
      <c r="N823" s="46">
        <v>44571</v>
      </c>
      <c r="O823" t="s">
        <v>865</v>
      </c>
    </row>
    <row r="824" spans="2:15">
      <c r="B824" s="46">
        <v>44572</v>
      </c>
      <c r="C824">
        <v>221.96331779906791</v>
      </c>
      <c r="D824">
        <v>8.02</v>
      </c>
      <c r="N824" s="46">
        <v>44572</v>
      </c>
      <c r="O824" t="s">
        <v>254</v>
      </c>
    </row>
    <row r="825" spans="2:15">
      <c r="B825" s="46">
        <v>44573</v>
      </c>
      <c r="C825">
        <v>222.74198128867363</v>
      </c>
      <c r="D825">
        <v>13.16</v>
      </c>
      <c r="N825" s="46">
        <v>44573</v>
      </c>
      <c r="O825" t="s">
        <v>687</v>
      </c>
    </row>
    <row r="826" spans="2:15">
      <c r="B826" s="46">
        <v>44574</v>
      </c>
      <c r="C826">
        <v>223.93790735300291</v>
      </c>
      <c r="D826">
        <v>11.5</v>
      </c>
      <c r="N826" s="46">
        <v>44574</v>
      </c>
      <c r="O826" t="s">
        <v>866</v>
      </c>
    </row>
    <row r="827" spans="2:15">
      <c r="B827" s="46">
        <v>44575</v>
      </c>
      <c r="C827">
        <v>222.61335680140806</v>
      </c>
      <c r="D827">
        <v>10.57</v>
      </c>
      <c r="N827" s="46">
        <v>44575</v>
      </c>
      <c r="O827" t="s">
        <v>307</v>
      </c>
    </row>
    <row r="828" spans="2:15">
      <c r="B828" s="46">
        <v>44578</v>
      </c>
      <c r="C828">
        <v>224.57978781909628</v>
      </c>
      <c r="D828">
        <v>12.32</v>
      </c>
      <c r="N828" s="46">
        <v>44578</v>
      </c>
      <c r="O828" t="s">
        <v>867</v>
      </c>
    </row>
    <row r="829" spans="2:15">
      <c r="B829" s="46">
        <v>44579</v>
      </c>
      <c r="C829">
        <v>220.78775470605476</v>
      </c>
      <c r="D829">
        <v>14.39</v>
      </c>
      <c r="N829" s="46">
        <v>44579</v>
      </c>
      <c r="O829" t="s">
        <v>868</v>
      </c>
    </row>
    <row r="830" spans="2:15">
      <c r="B830" s="46">
        <v>44580</v>
      </c>
      <c r="C830">
        <v>220.35396637139468</v>
      </c>
      <c r="D830">
        <v>11.47</v>
      </c>
      <c r="N830" s="46">
        <v>44580</v>
      </c>
      <c r="O830" t="s">
        <v>869</v>
      </c>
    </row>
    <row r="831" spans="2:15">
      <c r="B831" s="46">
        <v>44581</v>
      </c>
      <c r="C831">
        <v>218.76596991580385</v>
      </c>
      <c r="D831">
        <v>17.329999999999998</v>
      </c>
      <c r="N831" s="46">
        <v>44581</v>
      </c>
      <c r="O831" t="s">
        <v>870</v>
      </c>
    </row>
    <row r="832" spans="2:15">
      <c r="B832" s="46">
        <v>44582</v>
      </c>
      <c r="C832">
        <v>217.06693122063521</v>
      </c>
      <c r="D832">
        <v>16.59</v>
      </c>
      <c r="N832" s="46">
        <v>44582</v>
      </c>
      <c r="O832" t="s">
        <v>453</v>
      </c>
    </row>
    <row r="833" spans="2:15">
      <c r="B833" s="46">
        <v>44585</v>
      </c>
      <c r="C833">
        <v>211.85126800685765</v>
      </c>
      <c r="D833">
        <v>17.350000000000001</v>
      </c>
      <c r="N833" s="46">
        <v>44585</v>
      </c>
      <c r="O833" t="s">
        <v>871</v>
      </c>
    </row>
    <row r="834" spans="2:15">
      <c r="B834" s="46">
        <v>44586</v>
      </c>
      <c r="C834">
        <v>214.27471558356115</v>
      </c>
      <c r="D834">
        <v>18.32</v>
      </c>
      <c r="N834" s="46">
        <v>44586</v>
      </c>
      <c r="O834" t="s">
        <v>872</v>
      </c>
    </row>
    <row r="835" spans="2:15">
      <c r="B835" s="46">
        <v>44588</v>
      </c>
      <c r="C835">
        <v>214.59699564206102</v>
      </c>
      <c r="D835">
        <v>23.15</v>
      </c>
      <c r="N835" s="46">
        <v>44588</v>
      </c>
      <c r="O835" t="s">
        <v>873</v>
      </c>
    </row>
    <row r="836" spans="2:15">
      <c r="B836" s="46">
        <v>44589</v>
      </c>
      <c r="C836">
        <v>217.56954026436298</v>
      </c>
      <c r="D836">
        <v>15.28</v>
      </c>
      <c r="N836" s="46">
        <v>44589</v>
      </c>
      <c r="O836" t="s">
        <v>874</v>
      </c>
    </row>
    <row r="837" spans="2:15">
      <c r="B837" s="46">
        <v>44592</v>
      </c>
      <c r="C837">
        <v>220.17379931788116</v>
      </c>
      <c r="D837">
        <v>15.04</v>
      </c>
      <c r="N837" s="46">
        <v>44592</v>
      </c>
      <c r="O837" t="s">
        <v>875</v>
      </c>
    </row>
    <row r="838" spans="2:15">
      <c r="B838" s="46">
        <v>44593</v>
      </c>
      <c r="C838">
        <v>227.67190853537238</v>
      </c>
      <c r="D838">
        <v>43.21</v>
      </c>
      <c r="N838" s="46">
        <v>44593</v>
      </c>
      <c r="O838" t="s">
        <v>240</v>
      </c>
    </row>
    <row r="839" spans="2:15">
      <c r="B839" s="46">
        <v>44594</v>
      </c>
      <c r="C839">
        <v>232.10520369568673</v>
      </c>
      <c r="D839">
        <v>41.13</v>
      </c>
      <c r="N839" s="46">
        <v>44594</v>
      </c>
      <c r="O839" t="s">
        <v>876</v>
      </c>
    </row>
    <row r="840" spans="2:15">
      <c r="B840" s="46">
        <v>44595</v>
      </c>
      <c r="C840">
        <v>234.42679174761696</v>
      </c>
      <c r="D840">
        <v>27.85</v>
      </c>
      <c r="N840" s="46">
        <v>44595</v>
      </c>
      <c r="O840" t="s">
        <v>877</v>
      </c>
    </row>
    <row r="841" spans="2:15">
      <c r="B841" s="46">
        <v>44596</v>
      </c>
      <c r="C841">
        <v>234.30140580843485</v>
      </c>
      <c r="D841">
        <v>56.71</v>
      </c>
      <c r="N841" s="46">
        <v>44596</v>
      </c>
      <c r="O841" t="s">
        <v>878</v>
      </c>
    </row>
    <row r="842" spans="2:15">
      <c r="B842" s="46">
        <v>44599</v>
      </c>
      <c r="C842">
        <v>230.24029205110895</v>
      </c>
      <c r="D842">
        <v>24.17</v>
      </c>
      <c r="N842" s="46">
        <v>44599</v>
      </c>
      <c r="O842" t="s">
        <v>879</v>
      </c>
    </row>
    <row r="843" spans="2:15">
      <c r="B843" s="46">
        <v>44600</v>
      </c>
      <c r="C843">
        <v>231.23936298930249</v>
      </c>
      <c r="D843">
        <v>16.2</v>
      </c>
      <c r="N843" s="46">
        <v>44600</v>
      </c>
      <c r="O843" t="s">
        <v>880</v>
      </c>
    </row>
    <row r="844" spans="2:15">
      <c r="B844" s="46">
        <v>44601</v>
      </c>
      <c r="C844">
        <v>230.16104773029107</v>
      </c>
      <c r="D844">
        <v>11.89</v>
      </c>
      <c r="N844" s="46">
        <v>44601</v>
      </c>
      <c r="O844" t="s">
        <v>881</v>
      </c>
    </row>
    <row r="845" spans="2:15">
      <c r="B845" s="46">
        <v>44602</v>
      </c>
      <c r="C845">
        <v>232.22886717308722</v>
      </c>
      <c r="D845">
        <v>19.559999999999999</v>
      </c>
      <c r="N845" s="46">
        <v>44602</v>
      </c>
      <c r="O845" t="s">
        <v>517</v>
      </c>
    </row>
    <row r="846" spans="2:15">
      <c r="B846" s="46">
        <v>44603</v>
      </c>
      <c r="C846">
        <v>232.44790796882828</v>
      </c>
      <c r="D846">
        <v>18.100000000000001</v>
      </c>
      <c r="N846" s="46">
        <v>44603</v>
      </c>
      <c r="O846" t="s">
        <v>499</v>
      </c>
    </row>
    <row r="847" spans="2:15">
      <c r="B847" s="46">
        <v>44606</v>
      </c>
      <c r="C847">
        <v>219.57274116230971</v>
      </c>
      <c r="D847">
        <v>22.75</v>
      </c>
      <c r="N847" s="46">
        <v>44606</v>
      </c>
      <c r="O847" t="s">
        <v>882</v>
      </c>
    </row>
    <row r="848" spans="2:15">
      <c r="B848" s="46">
        <v>44607</v>
      </c>
      <c r="C848">
        <v>222.96387985146407</v>
      </c>
      <c r="D848">
        <v>12.88</v>
      </c>
      <c r="N848" s="46">
        <v>44607</v>
      </c>
      <c r="O848" t="s">
        <v>883</v>
      </c>
    </row>
    <row r="849" spans="2:15">
      <c r="B849" s="46">
        <v>44608</v>
      </c>
      <c r="C849">
        <v>222.75245027695306</v>
      </c>
      <c r="D849">
        <v>11.23</v>
      </c>
      <c r="N849" s="46">
        <v>44608</v>
      </c>
      <c r="O849" t="s">
        <v>864</v>
      </c>
    </row>
    <row r="850" spans="2:15">
      <c r="B850" s="46">
        <v>44609</v>
      </c>
      <c r="C850">
        <v>222.65089060356243</v>
      </c>
      <c r="D850">
        <v>14.02</v>
      </c>
      <c r="N850" s="46">
        <v>44609</v>
      </c>
      <c r="O850" t="s">
        <v>884</v>
      </c>
    </row>
    <row r="851" spans="2:15">
      <c r="B851" s="46">
        <v>44610</v>
      </c>
      <c r="C851">
        <v>221.90754485652513</v>
      </c>
      <c r="D851">
        <v>8.67</v>
      </c>
      <c r="N851" s="46">
        <v>44610</v>
      </c>
      <c r="O851" t="s">
        <v>885</v>
      </c>
    </row>
    <row r="852" spans="2:15">
      <c r="B852" s="46">
        <v>44613</v>
      </c>
      <c r="C852">
        <v>218.03837475395667</v>
      </c>
      <c r="D852">
        <v>16.13</v>
      </c>
      <c r="N852" s="46">
        <v>44613</v>
      </c>
      <c r="O852" t="s">
        <v>886</v>
      </c>
    </row>
    <row r="853" spans="2:15">
      <c r="B853" s="46">
        <v>44614</v>
      </c>
      <c r="C853">
        <v>214.88094285577122</v>
      </c>
      <c r="D853">
        <v>25.75</v>
      </c>
      <c r="N853" s="46">
        <v>44614</v>
      </c>
      <c r="O853" t="s">
        <v>887</v>
      </c>
    </row>
    <row r="854" spans="2:15">
      <c r="B854" s="46">
        <v>44615</v>
      </c>
      <c r="C854">
        <v>215.9389871116573</v>
      </c>
      <c r="D854">
        <v>11.01</v>
      </c>
      <c r="N854" s="46">
        <v>44615</v>
      </c>
      <c r="O854" t="s">
        <v>287</v>
      </c>
    </row>
    <row r="855" spans="2:15">
      <c r="B855" s="46">
        <v>44616</v>
      </c>
      <c r="C855">
        <v>208.57195732527722</v>
      </c>
      <c r="D855">
        <v>41.34</v>
      </c>
      <c r="N855" s="46">
        <v>44616</v>
      </c>
      <c r="O855" t="s">
        <v>888</v>
      </c>
    </row>
    <row r="856" spans="2:15">
      <c r="B856" s="46">
        <v>44617</v>
      </c>
      <c r="C856">
        <v>213.89417362068497</v>
      </c>
      <c r="D856">
        <v>23.63</v>
      </c>
      <c r="N856" s="46">
        <v>44617</v>
      </c>
      <c r="O856" t="s">
        <v>889</v>
      </c>
    </row>
    <row r="857" spans="2:15">
      <c r="B857" s="46">
        <v>44620</v>
      </c>
      <c r="C857">
        <v>215.8307910595957</v>
      </c>
      <c r="D857">
        <v>20.03</v>
      </c>
      <c r="N857" s="46">
        <v>44620</v>
      </c>
      <c r="O857" t="s">
        <v>460</v>
      </c>
    </row>
    <row r="858" spans="2:15">
      <c r="B858" s="46">
        <v>44622</v>
      </c>
      <c r="C858">
        <v>215.30538263456589</v>
      </c>
      <c r="D858">
        <v>19.3</v>
      </c>
      <c r="N858" s="46">
        <v>44622</v>
      </c>
      <c r="O858" t="s">
        <v>890</v>
      </c>
    </row>
    <row r="859" spans="2:15">
      <c r="B859" s="46">
        <v>44623</v>
      </c>
      <c r="C859">
        <v>219.35832191883546</v>
      </c>
      <c r="D859">
        <v>28.53</v>
      </c>
      <c r="N859" s="46">
        <v>44623</v>
      </c>
      <c r="O859" t="s">
        <v>891</v>
      </c>
    </row>
    <row r="860" spans="2:15">
      <c r="B860" s="46">
        <v>44624</v>
      </c>
      <c r="C860">
        <v>225.4373284226985</v>
      </c>
      <c r="D860">
        <v>66.84</v>
      </c>
      <c r="N860" s="46">
        <v>44624</v>
      </c>
      <c r="O860" t="s">
        <v>892</v>
      </c>
    </row>
    <row r="861" spans="2:15">
      <c r="B861" s="46">
        <v>44627</v>
      </c>
      <c r="C861">
        <v>224.9553989295743</v>
      </c>
      <c r="D861">
        <v>45.26</v>
      </c>
      <c r="N861" s="46">
        <v>44627</v>
      </c>
      <c r="O861" t="s">
        <v>893</v>
      </c>
    </row>
    <row r="862" spans="2:15">
      <c r="B862" s="46">
        <v>44628</v>
      </c>
      <c r="C862">
        <v>226.88026141725672</v>
      </c>
      <c r="D862">
        <v>36.04</v>
      </c>
      <c r="N862" s="46">
        <v>44628</v>
      </c>
      <c r="O862" t="s">
        <v>894</v>
      </c>
    </row>
    <row r="863" spans="2:15">
      <c r="B863" s="46">
        <v>44629</v>
      </c>
      <c r="C863">
        <v>229.22616047931012</v>
      </c>
      <c r="D863">
        <v>42.29</v>
      </c>
      <c r="N863" s="46">
        <v>44629</v>
      </c>
      <c r="O863" t="s">
        <v>895</v>
      </c>
    </row>
    <row r="864" spans="2:15">
      <c r="B864" s="46">
        <v>44630</v>
      </c>
      <c r="C864">
        <v>231.97216334039916</v>
      </c>
      <c r="D864">
        <v>36.130000000000003</v>
      </c>
      <c r="N864" s="46">
        <v>44630</v>
      </c>
      <c r="O864" t="s">
        <v>896</v>
      </c>
    </row>
    <row r="865" spans="2:15">
      <c r="B865" s="46">
        <v>44631</v>
      </c>
      <c r="C865">
        <v>236.30557455198419</v>
      </c>
      <c r="D865">
        <v>41.7</v>
      </c>
      <c r="N865" s="46">
        <v>44631</v>
      </c>
      <c r="O865" t="s">
        <v>897</v>
      </c>
    </row>
    <row r="866" spans="2:15">
      <c r="B866" s="46">
        <v>44634</v>
      </c>
      <c r="C866">
        <v>238.97323499768029</v>
      </c>
      <c r="D866">
        <v>35.11</v>
      </c>
      <c r="N866" s="46">
        <v>44634</v>
      </c>
      <c r="O866" t="s">
        <v>898</v>
      </c>
    </row>
    <row r="867" spans="2:15">
      <c r="B867" s="46">
        <v>44635</v>
      </c>
      <c r="C867">
        <v>237.86141734803272</v>
      </c>
      <c r="D867">
        <v>33</v>
      </c>
      <c r="N867" s="46">
        <v>44635</v>
      </c>
      <c r="O867" t="s">
        <v>899</v>
      </c>
    </row>
    <row r="868" spans="2:15">
      <c r="B868" s="46">
        <v>44636</v>
      </c>
      <c r="C868">
        <v>242.5514897020596</v>
      </c>
      <c r="D868">
        <v>21.63</v>
      </c>
      <c r="N868" s="46">
        <v>44636</v>
      </c>
      <c r="O868" t="s">
        <v>900</v>
      </c>
    </row>
    <row r="869" spans="2:15">
      <c r="B869" s="46">
        <v>44637</v>
      </c>
      <c r="C869">
        <v>244.87673671001255</v>
      </c>
      <c r="D869">
        <v>34.22</v>
      </c>
      <c r="N869" s="46">
        <v>44637</v>
      </c>
      <c r="O869" t="s">
        <v>901</v>
      </c>
    </row>
    <row r="870" spans="2:15">
      <c r="B870" s="46">
        <v>44641</v>
      </c>
      <c r="C870">
        <v>244.503912062593</v>
      </c>
      <c r="D870">
        <v>27.98</v>
      </c>
      <c r="N870" s="46">
        <v>44641</v>
      </c>
      <c r="O870" t="s">
        <v>902</v>
      </c>
    </row>
    <row r="871" spans="2:15">
      <c r="B871" s="46">
        <v>44642</v>
      </c>
      <c r="C871">
        <v>249.69631529221215</v>
      </c>
      <c r="D871">
        <v>36.950000000000003</v>
      </c>
      <c r="N871" s="46">
        <v>44642</v>
      </c>
      <c r="O871" t="s">
        <v>903</v>
      </c>
    </row>
    <row r="872" spans="2:15">
      <c r="B872" s="46">
        <v>44643</v>
      </c>
      <c r="C872">
        <v>251.97732204101632</v>
      </c>
      <c r="D872">
        <v>40.49</v>
      </c>
      <c r="N872" s="46">
        <v>44643</v>
      </c>
      <c r="O872" t="s">
        <v>904</v>
      </c>
    </row>
    <row r="873" spans="2:15">
      <c r="B873" s="46">
        <v>44644</v>
      </c>
      <c r="C873">
        <v>254.82120520381196</v>
      </c>
      <c r="D873">
        <v>38.24</v>
      </c>
      <c r="N873" s="46">
        <v>44644</v>
      </c>
      <c r="O873" t="s">
        <v>850</v>
      </c>
    </row>
    <row r="874" spans="2:15">
      <c r="B874" s="46">
        <v>44645</v>
      </c>
      <c r="C874">
        <v>253.36494853196339</v>
      </c>
      <c r="D874">
        <v>29.28</v>
      </c>
      <c r="N874" s="46">
        <v>44645</v>
      </c>
      <c r="O874" t="s">
        <v>905</v>
      </c>
    </row>
    <row r="875" spans="2:15">
      <c r="B875" s="46">
        <v>44648</v>
      </c>
      <c r="C875">
        <v>257.01247617847798</v>
      </c>
      <c r="D875">
        <v>24.92</v>
      </c>
      <c r="N875" s="46">
        <v>44648</v>
      </c>
      <c r="O875" t="s">
        <v>906</v>
      </c>
    </row>
    <row r="876" spans="2:15">
      <c r="B876" s="46">
        <v>44649</v>
      </c>
      <c r="C876">
        <v>254.62418929798329</v>
      </c>
      <c r="D876">
        <v>18.12</v>
      </c>
      <c r="N876" s="46">
        <v>44649</v>
      </c>
      <c r="O876" t="s">
        <v>316</v>
      </c>
    </row>
    <row r="877" spans="2:15">
      <c r="B877" s="46">
        <v>44650</v>
      </c>
      <c r="C877">
        <v>249.25284160241969</v>
      </c>
      <c r="D877">
        <v>17.600000000000001</v>
      </c>
      <c r="N877" s="46">
        <v>44650</v>
      </c>
      <c r="O877" t="s">
        <v>907</v>
      </c>
    </row>
    <row r="878" spans="2:15">
      <c r="B878" s="46">
        <v>44651</v>
      </c>
      <c r="C878">
        <v>250.63546314313774</v>
      </c>
      <c r="D878">
        <v>25.66</v>
      </c>
      <c r="N878" s="46">
        <v>44651</v>
      </c>
      <c r="O878" t="s">
        <v>908</v>
      </c>
    </row>
    <row r="879" spans="2:15">
      <c r="B879" s="46">
        <v>44652</v>
      </c>
      <c r="C879">
        <v>253.27315304577718</v>
      </c>
      <c r="D879">
        <v>14.31</v>
      </c>
      <c r="N879" s="46">
        <v>44652</v>
      </c>
      <c r="O879" t="s">
        <v>909</v>
      </c>
    </row>
    <row r="880" spans="2:15">
      <c r="B880" s="46">
        <v>44655</v>
      </c>
      <c r="C880">
        <v>255.42828859546941</v>
      </c>
      <c r="D880">
        <v>15.91</v>
      </c>
      <c r="N880" s="46">
        <v>44655</v>
      </c>
      <c r="O880" t="s">
        <v>910</v>
      </c>
    </row>
    <row r="881" spans="2:15">
      <c r="B881" s="46">
        <v>44656</v>
      </c>
      <c r="C881">
        <v>259.40927274417913</v>
      </c>
      <c r="D881">
        <v>27.18</v>
      </c>
      <c r="N881" s="46">
        <v>44656</v>
      </c>
      <c r="O881" t="s">
        <v>911</v>
      </c>
    </row>
    <row r="882" spans="2:15">
      <c r="B882" s="46">
        <v>44657</v>
      </c>
      <c r="C882">
        <v>259.59844240934558</v>
      </c>
      <c r="D882">
        <v>19.600000000000001</v>
      </c>
      <c r="N882" s="46">
        <v>44657</v>
      </c>
      <c r="O882" t="s">
        <v>697</v>
      </c>
    </row>
    <row r="883" spans="2:15">
      <c r="B883" s="46">
        <v>44658</v>
      </c>
      <c r="C883">
        <v>256.67926143580365</v>
      </c>
      <c r="D883">
        <v>16.059999999999999</v>
      </c>
      <c r="N883" s="46">
        <v>44658</v>
      </c>
      <c r="O883" t="s">
        <v>379</v>
      </c>
    </row>
    <row r="884" spans="2:15">
      <c r="B884" s="46">
        <v>44659</v>
      </c>
      <c r="C884">
        <v>266.06129126094226</v>
      </c>
      <c r="D884">
        <v>37.83</v>
      </c>
      <c r="N884" s="46">
        <v>44659</v>
      </c>
      <c r="O884" t="s">
        <v>912</v>
      </c>
    </row>
    <row r="885" spans="2:15">
      <c r="B885" s="46">
        <v>44662</v>
      </c>
      <c r="C885">
        <v>267.48662566871656</v>
      </c>
      <c r="D885">
        <v>46.15</v>
      </c>
      <c r="N885" s="46">
        <v>44662</v>
      </c>
      <c r="O885" t="s">
        <v>913</v>
      </c>
    </row>
    <row r="886" spans="2:15">
      <c r="B886" s="46">
        <v>44663</v>
      </c>
      <c r="C886">
        <v>263.22264206801503</v>
      </c>
      <c r="D886">
        <v>23.55</v>
      </c>
      <c r="N886" s="46">
        <v>44663</v>
      </c>
      <c r="O886" t="s">
        <v>914</v>
      </c>
    </row>
    <row r="887" spans="2:15">
      <c r="B887" s="46">
        <v>44664</v>
      </c>
      <c r="C887">
        <v>269.48478468210692</v>
      </c>
      <c r="D887">
        <v>21.41</v>
      </c>
      <c r="N887" s="46">
        <v>44664</v>
      </c>
      <c r="O887" t="s">
        <v>915</v>
      </c>
    </row>
    <row r="888" spans="2:15">
      <c r="B888" s="46">
        <v>44669</v>
      </c>
      <c r="C888">
        <v>268.46100690128293</v>
      </c>
      <c r="D888">
        <v>24.4</v>
      </c>
      <c r="N888" s="46">
        <v>44669</v>
      </c>
      <c r="O888" t="s">
        <v>916</v>
      </c>
    </row>
    <row r="889" spans="2:15">
      <c r="B889" s="46">
        <v>44670</v>
      </c>
      <c r="C889">
        <v>261.61723562955677</v>
      </c>
      <c r="D889">
        <v>23.38</v>
      </c>
      <c r="N889" s="46">
        <v>44670</v>
      </c>
      <c r="O889" t="s">
        <v>917</v>
      </c>
    </row>
    <row r="890" spans="2:15">
      <c r="B890" s="46">
        <v>44671</v>
      </c>
      <c r="C890">
        <v>259.56972729927475</v>
      </c>
      <c r="D890">
        <v>24.51</v>
      </c>
      <c r="N890" s="46">
        <v>44671</v>
      </c>
      <c r="O890" t="s">
        <v>918</v>
      </c>
    </row>
    <row r="891" spans="2:15">
      <c r="B891" s="46">
        <v>44672</v>
      </c>
      <c r="C891">
        <v>260.39140708356621</v>
      </c>
      <c r="D891">
        <v>23.41</v>
      </c>
      <c r="N891" s="46">
        <v>44672</v>
      </c>
      <c r="O891" t="s">
        <v>919</v>
      </c>
    </row>
    <row r="892" spans="2:15">
      <c r="B892" s="46">
        <v>44673</v>
      </c>
      <c r="C892">
        <v>261.09295049033676</v>
      </c>
      <c r="D892">
        <v>15.67</v>
      </c>
      <c r="N892" s="46">
        <v>44673</v>
      </c>
      <c r="O892" t="s">
        <v>920</v>
      </c>
    </row>
    <row r="893" spans="2:15">
      <c r="B893" s="46">
        <v>44676</v>
      </c>
      <c r="C893">
        <v>255.3071888102935</v>
      </c>
      <c r="D893">
        <v>24.21</v>
      </c>
      <c r="N893" s="46">
        <v>44676</v>
      </c>
      <c r="O893" t="s">
        <v>921</v>
      </c>
    </row>
    <row r="894" spans="2:15">
      <c r="B894" s="46">
        <v>44677</v>
      </c>
      <c r="C894">
        <v>258.91245769363439</v>
      </c>
      <c r="D894">
        <v>20.54</v>
      </c>
      <c r="N894" s="46">
        <v>44677</v>
      </c>
      <c r="O894" t="s">
        <v>922</v>
      </c>
    </row>
    <row r="895" spans="2:15">
      <c r="B895" s="46">
        <v>44678</v>
      </c>
      <c r="C895">
        <v>257.51442080756522</v>
      </c>
      <c r="D895">
        <v>16.579999999999998</v>
      </c>
      <c r="N895" s="46">
        <v>44678</v>
      </c>
      <c r="O895" t="s">
        <v>860</v>
      </c>
    </row>
    <row r="896" spans="2:15">
      <c r="B896" s="46">
        <v>44679</v>
      </c>
      <c r="C896">
        <v>261.06345111684368</v>
      </c>
      <c r="D896">
        <v>27.92</v>
      </c>
      <c r="N896" s="46">
        <v>44679</v>
      </c>
      <c r="O896" t="s">
        <v>923</v>
      </c>
    </row>
    <row r="897" spans="2:15">
      <c r="B897" s="46">
        <v>44680</v>
      </c>
      <c r="C897">
        <v>259.56531435354685</v>
      </c>
      <c r="D897">
        <v>20.420000000000002</v>
      </c>
      <c r="N897" s="46">
        <v>44680</v>
      </c>
      <c r="O897" t="s">
        <v>924</v>
      </c>
    </row>
    <row r="898" spans="2:15">
      <c r="B898" s="46">
        <v>44683</v>
      </c>
      <c r="C898">
        <v>263.11342723361452</v>
      </c>
      <c r="D898">
        <v>18.97</v>
      </c>
      <c r="N898" s="46">
        <v>44683</v>
      </c>
      <c r="O898" t="s">
        <v>925</v>
      </c>
    </row>
    <row r="899" spans="2:15">
      <c r="B899" s="46">
        <v>44685</v>
      </c>
      <c r="C899">
        <v>259.78351207305741</v>
      </c>
      <c r="D899">
        <v>25.95</v>
      </c>
      <c r="N899" s="46">
        <v>44685</v>
      </c>
      <c r="O899" t="s">
        <v>688</v>
      </c>
    </row>
    <row r="900" spans="2:15">
      <c r="B900" s="46">
        <v>44686</v>
      </c>
      <c r="C900">
        <v>262.02667962551334</v>
      </c>
      <c r="D900">
        <v>17.93</v>
      </c>
      <c r="N900" s="46">
        <v>44686</v>
      </c>
      <c r="O900" t="s">
        <v>151</v>
      </c>
    </row>
    <row r="901" spans="2:15">
      <c r="B901" s="46">
        <v>44687</v>
      </c>
      <c r="C901">
        <v>266.60307785829696</v>
      </c>
      <c r="D901">
        <v>34.49</v>
      </c>
      <c r="N901" s="46">
        <v>44687</v>
      </c>
      <c r="O901" t="s">
        <v>926</v>
      </c>
    </row>
    <row r="902" spans="2:15">
      <c r="B902" s="46">
        <v>44690</v>
      </c>
      <c r="C902">
        <v>261.39201701138524</v>
      </c>
      <c r="D902">
        <v>21.4</v>
      </c>
      <c r="N902" s="46">
        <v>44690</v>
      </c>
      <c r="O902" t="s">
        <v>249</v>
      </c>
    </row>
    <row r="903" spans="2:15">
      <c r="B903" s="46">
        <v>44691</v>
      </c>
      <c r="C903">
        <v>259.76584571658873</v>
      </c>
      <c r="D903">
        <v>18.03</v>
      </c>
      <c r="N903" s="46">
        <v>44691</v>
      </c>
      <c r="O903" t="s">
        <v>927</v>
      </c>
    </row>
    <row r="904" spans="2:15">
      <c r="B904" s="46">
        <v>44692</v>
      </c>
      <c r="C904">
        <v>254.14540369800619</v>
      </c>
      <c r="D904">
        <v>17.34</v>
      </c>
      <c r="N904" s="46">
        <v>44692</v>
      </c>
      <c r="O904" t="s">
        <v>928</v>
      </c>
    </row>
    <row r="905" spans="2:15">
      <c r="B905" s="46">
        <v>44693</v>
      </c>
      <c r="C905">
        <v>251.37714873206306</v>
      </c>
      <c r="D905">
        <v>20.04</v>
      </c>
      <c r="N905" s="46">
        <v>44693</v>
      </c>
      <c r="O905" t="s">
        <v>929</v>
      </c>
    </row>
    <row r="906" spans="2:15">
      <c r="B906" s="46">
        <v>44694</v>
      </c>
      <c r="C906">
        <v>258.52554464314278</v>
      </c>
      <c r="D906">
        <v>11.92</v>
      </c>
      <c r="N906" s="46">
        <v>44694</v>
      </c>
      <c r="O906" t="s">
        <v>930</v>
      </c>
    </row>
    <row r="907" spans="2:15">
      <c r="B907" s="46">
        <v>44697</v>
      </c>
      <c r="C907">
        <v>254.14422109447042</v>
      </c>
      <c r="D907">
        <v>8.19</v>
      </c>
      <c r="N907" s="46">
        <v>44697</v>
      </c>
      <c r="O907" t="s">
        <v>931</v>
      </c>
    </row>
    <row r="908" spans="2:15">
      <c r="B908" s="46">
        <v>44698</v>
      </c>
      <c r="C908">
        <v>264.5896661092325</v>
      </c>
      <c r="D908">
        <v>17.8</v>
      </c>
      <c r="N908" s="46">
        <v>44698</v>
      </c>
      <c r="O908" t="s">
        <v>491</v>
      </c>
    </row>
    <row r="909" spans="2:15">
      <c r="B909" s="46">
        <v>44699</v>
      </c>
      <c r="C909">
        <v>266.7789244649673</v>
      </c>
      <c r="D909">
        <v>20.2</v>
      </c>
      <c r="N909" s="46">
        <v>44699</v>
      </c>
      <c r="O909" t="s">
        <v>932</v>
      </c>
    </row>
    <row r="910" spans="2:15">
      <c r="B910" s="46">
        <v>44700</v>
      </c>
      <c r="C910">
        <v>273.88659839163103</v>
      </c>
      <c r="D910">
        <v>78.290000000000006</v>
      </c>
      <c r="N910" s="46">
        <v>44700</v>
      </c>
      <c r="O910" t="s">
        <v>933</v>
      </c>
    </row>
    <row r="911" spans="2:15">
      <c r="B911" s="46">
        <v>44701</v>
      </c>
      <c r="C911">
        <v>278.24603712613407</v>
      </c>
      <c r="D911">
        <v>32.369999999999997</v>
      </c>
      <c r="N911" s="46">
        <v>44701</v>
      </c>
      <c r="O911" t="s">
        <v>934</v>
      </c>
    </row>
    <row r="912" spans="2:15">
      <c r="B912" s="46">
        <v>44704</v>
      </c>
      <c r="C912">
        <v>272.87348320270769</v>
      </c>
      <c r="D912">
        <v>21.7</v>
      </c>
      <c r="N912" s="46">
        <v>44704</v>
      </c>
      <c r="O912" t="s">
        <v>935</v>
      </c>
    </row>
    <row r="913" spans="2:15">
      <c r="B913" s="46">
        <v>44705</v>
      </c>
      <c r="C913">
        <v>269.2258070323353</v>
      </c>
      <c r="D913">
        <v>15.55</v>
      </c>
      <c r="N913" s="46">
        <v>44705</v>
      </c>
      <c r="O913" t="s">
        <v>936</v>
      </c>
    </row>
    <row r="914" spans="2:15">
      <c r="B914" s="46">
        <v>44706</v>
      </c>
      <c r="C914">
        <v>271.01157121315748</v>
      </c>
      <c r="D914">
        <v>15.29</v>
      </c>
      <c r="N914" s="46">
        <v>44706</v>
      </c>
      <c r="O914" t="s">
        <v>937</v>
      </c>
    </row>
    <row r="915" spans="2:15">
      <c r="B915" s="46">
        <v>44707</v>
      </c>
      <c r="C915">
        <v>265.12832823221106</v>
      </c>
      <c r="D915">
        <v>18.420000000000002</v>
      </c>
      <c r="N915" s="46">
        <v>44707</v>
      </c>
      <c r="O915" t="s">
        <v>938</v>
      </c>
    </row>
    <row r="916" spans="2:15">
      <c r="B916" s="46">
        <v>44708</v>
      </c>
      <c r="C916">
        <v>267.52485266384957</v>
      </c>
      <c r="D916">
        <v>13.47</v>
      </c>
      <c r="N916" s="46">
        <v>44708</v>
      </c>
      <c r="O916" t="s">
        <v>939</v>
      </c>
    </row>
    <row r="917" spans="2:15">
      <c r="B917" s="46">
        <v>44711</v>
      </c>
      <c r="C917">
        <v>267.40160440962643</v>
      </c>
      <c r="D917">
        <v>11.82</v>
      </c>
      <c r="N917" s="46">
        <v>44711</v>
      </c>
      <c r="O917" t="s">
        <v>940</v>
      </c>
    </row>
    <row r="918" spans="2:15">
      <c r="B918" s="46">
        <v>44712</v>
      </c>
      <c r="C918">
        <v>268.97413052629895</v>
      </c>
      <c r="D918">
        <v>23.21</v>
      </c>
      <c r="N918" s="46">
        <v>44712</v>
      </c>
      <c r="O918" t="s">
        <v>941</v>
      </c>
    </row>
    <row r="919" spans="2:15">
      <c r="B919" s="46">
        <v>44713</v>
      </c>
      <c r="C919">
        <v>270.16811260304547</v>
      </c>
      <c r="D919">
        <v>14.7</v>
      </c>
      <c r="N919" s="46">
        <v>44713</v>
      </c>
      <c r="O919" t="s">
        <v>942</v>
      </c>
    </row>
    <row r="920" spans="2:15">
      <c r="B920" s="46">
        <v>44714</v>
      </c>
      <c r="C920">
        <v>271.8134193814177</v>
      </c>
      <c r="D920">
        <v>14.24</v>
      </c>
      <c r="N920" s="46">
        <v>44714</v>
      </c>
      <c r="O920" t="s">
        <v>943</v>
      </c>
    </row>
    <row r="921" spans="2:15">
      <c r="B921" s="46">
        <v>44715</v>
      </c>
      <c r="C921">
        <v>271.03786009794283</v>
      </c>
      <c r="D921">
        <v>12.49</v>
      </c>
      <c r="N921" s="46">
        <v>44715</v>
      </c>
      <c r="O921" t="s">
        <v>565</v>
      </c>
    </row>
    <row r="922" spans="2:15">
      <c r="B922" s="46">
        <v>44718</v>
      </c>
      <c r="C922">
        <v>273.09897137920376</v>
      </c>
      <c r="D922">
        <v>10.93</v>
      </c>
      <c r="N922" s="46">
        <v>44718</v>
      </c>
      <c r="O922" t="s">
        <v>944</v>
      </c>
    </row>
    <row r="923" spans="2:15">
      <c r="B923" s="46">
        <v>44719</v>
      </c>
      <c r="C923">
        <v>272.22898355645737</v>
      </c>
      <c r="D923">
        <v>10.83</v>
      </c>
      <c r="N923" s="46">
        <v>44719</v>
      </c>
      <c r="O923" t="s">
        <v>770</v>
      </c>
    </row>
    <row r="924" spans="2:15">
      <c r="B924" s="46">
        <v>44720</v>
      </c>
      <c r="C924">
        <v>266.31832371289312</v>
      </c>
      <c r="D924">
        <v>14.36</v>
      </c>
      <c r="N924" s="46">
        <v>44720</v>
      </c>
      <c r="O924" t="s">
        <v>945</v>
      </c>
    </row>
    <row r="925" spans="2:15">
      <c r="B925" s="46">
        <v>44721</v>
      </c>
      <c r="C925">
        <v>269.1603923568407</v>
      </c>
      <c r="D925">
        <v>9.86</v>
      </c>
      <c r="N925" s="46">
        <v>44721</v>
      </c>
      <c r="O925" t="s">
        <v>849</v>
      </c>
    </row>
    <row r="926" spans="2:15">
      <c r="B926" s="46">
        <v>44722</v>
      </c>
      <c r="C926">
        <v>268.5069811815107</v>
      </c>
      <c r="D926">
        <v>8.3699999999999992</v>
      </c>
      <c r="N926" s="46">
        <v>44722</v>
      </c>
      <c r="O926" t="s">
        <v>946</v>
      </c>
    </row>
    <row r="927" spans="2:15">
      <c r="B927" s="46">
        <v>44725</v>
      </c>
      <c r="C927">
        <v>263.08366906848994</v>
      </c>
      <c r="D927">
        <v>11.09</v>
      </c>
      <c r="N927" s="46">
        <v>44725</v>
      </c>
      <c r="O927" t="s">
        <v>767</v>
      </c>
    </row>
    <row r="928" spans="2:15">
      <c r="B928" s="46">
        <v>44726</v>
      </c>
      <c r="C928">
        <v>263.82208533743989</v>
      </c>
      <c r="D928">
        <v>7.42</v>
      </c>
      <c r="N928" s="46">
        <v>44726</v>
      </c>
      <c r="O928" t="s">
        <v>311</v>
      </c>
    </row>
    <row r="929" spans="2:15">
      <c r="B929" s="46">
        <v>44727</v>
      </c>
      <c r="C929">
        <v>261.81015938227245</v>
      </c>
      <c r="D929">
        <v>5.0599999999999996</v>
      </c>
      <c r="N929" s="46">
        <v>44727</v>
      </c>
      <c r="O929" t="s">
        <v>947</v>
      </c>
    </row>
    <row r="930" spans="2:15">
      <c r="B930" s="46">
        <v>44728</v>
      </c>
      <c r="C930">
        <v>259.12643089595144</v>
      </c>
      <c r="D930">
        <v>14.29</v>
      </c>
      <c r="N930" s="46">
        <v>44728</v>
      </c>
      <c r="O930" t="s">
        <v>243</v>
      </c>
    </row>
    <row r="931" spans="2:15">
      <c r="B931" s="46">
        <v>44729</v>
      </c>
      <c r="C931">
        <v>261.66383361663833</v>
      </c>
      <c r="D931">
        <v>16.649999999999999</v>
      </c>
      <c r="N931" s="46">
        <v>44729</v>
      </c>
      <c r="O931" t="s">
        <v>387</v>
      </c>
    </row>
    <row r="932" spans="2:15">
      <c r="B932" s="46">
        <v>44732</v>
      </c>
      <c r="C932">
        <v>262.47212583622496</v>
      </c>
      <c r="D932">
        <v>17.079999999999998</v>
      </c>
      <c r="N932" s="46">
        <v>44732</v>
      </c>
      <c r="O932" t="s">
        <v>948</v>
      </c>
    </row>
    <row r="933" spans="2:15">
      <c r="B933" s="46">
        <v>44733</v>
      </c>
      <c r="C933">
        <v>268.19099798044425</v>
      </c>
      <c r="D933">
        <v>13.88</v>
      </c>
      <c r="N933" s="46">
        <v>44733</v>
      </c>
      <c r="O933" t="s">
        <v>761</v>
      </c>
    </row>
    <row r="934" spans="2:15">
      <c r="B934" s="46">
        <v>44734</v>
      </c>
      <c r="C934">
        <v>263.72483322164771</v>
      </c>
      <c r="D934">
        <v>11.32</v>
      </c>
      <c r="N934" s="46">
        <v>44734</v>
      </c>
      <c r="O934" t="s">
        <v>949</v>
      </c>
    </row>
    <row r="935" spans="2:15">
      <c r="B935" s="46">
        <v>44735</v>
      </c>
      <c r="C935">
        <v>263.86788905688752</v>
      </c>
      <c r="D935">
        <v>9.07</v>
      </c>
      <c r="N935" s="46">
        <v>44735</v>
      </c>
      <c r="O935" t="s">
        <v>950</v>
      </c>
    </row>
    <row r="936" spans="2:15">
      <c r="B936" s="46">
        <v>44736</v>
      </c>
      <c r="C936">
        <v>264.21656518465261</v>
      </c>
      <c r="D936">
        <v>7.01</v>
      </c>
      <c r="N936" s="46">
        <v>44736</v>
      </c>
      <c r="O936" t="s">
        <v>951</v>
      </c>
    </row>
    <row r="937" spans="2:15">
      <c r="B937" s="46">
        <v>44739</v>
      </c>
      <c r="C937">
        <v>268.25868816202308</v>
      </c>
      <c r="D937">
        <v>8.17</v>
      </c>
      <c r="N937" s="46">
        <v>44739</v>
      </c>
      <c r="O937" t="s">
        <v>952</v>
      </c>
    </row>
    <row r="938" spans="2:15">
      <c r="B938" s="46">
        <v>44740</v>
      </c>
      <c r="C938">
        <v>270.16108872378936</v>
      </c>
      <c r="D938">
        <v>11.24</v>
      </c>
      <c r="N938" s="46">
        <v>44740</v>
      </c>
      <c r="O938" t="s">
        <v>953</v>
      </c>
    </row>
    <row r="939" spans="2:15">
      <c r="B939" s="46">
        <v>44741</v>
      </c>
      <c r="C939">
        <v>272.34793981687483</v>
      </c>
      <c r="D939">
        <v>16.02</v>
      </c>
      <c r="N939" s="46">
        <v>44741</v>
      </c>
      <c r="O939" t="s">
        <v>954</v>
      </c>
    </row>
    <row r="940" spans="2:15">
      <c r="B940" s="46">
        <v>44742</v>
      </c>
      <c r="C940">
        <v>271.83543670873416</v>
      </c>
      <c r="D940">
        <v>19.260000000000002</v>
      </c>
      <c r="N940" s="46">
        <v>44742</v>
      </c>
      <c r="O940" t="s">
        <v>580</v>
      </c>
    </row>
    <row r="941" spans="2:15">
      <c r="B941" s="46">
        <v>44743</v>
      </c>
      <c r="C941">
        <v>282.49784835420343</v>
      </c>
      <c r="D941">
        <v>35.17</v>
      </c>
      <c r="N941" s="46">
        <v>44743</v>
      </c>
      <c r="O941" t="s">
        <v>955</v>
      </c>
    </row>
    <row r="942" spans="2:15">
      <c r="B942" s="46">
        <v>44746</v>
      </c>
      <c r="C942">
        <v>290.03285126156442</v>
      </c>
      <c r="D942">
        <v>39.880000000000003</v>
      </c>
      <c r="N942" s="46">
        <v>44746</v>
      </c>
      <c r="O942" t="s">
        <v>956</v>
      </c>
    </row>
    <row r="943" spans="2:15">
      <c r="B943" s="46">
        <v>44747</v>
      </c>
      <c r="C943">
        <v>285.18876727920474</v>
      </c>
      <c r="D943">
        <v>18.57</v>
      </c>
      <c r="N943" s="46">
        <v>44747</v>
      </c>
      <c r="O943" t="s">
        <v>957</v>
      </c>
    </row>
    <row r="944" spans="2:15">
      <c r="B944" s="46">
        <v>44748</v>
      </c>
      <c r="C944">
        <v>287.50584950864123</v>
      </c>
      <c r="D944">
        <v>18.29</v>
      </c>
      <c r="N944" s="46">
        <v>44748</v>
      </c>
      <c r="O944" t="s">
        <v>958</v>
      </c>
    </row>
    <row r="945" spans="2:15">
      <c r="B945" s="46">
        <v>44749</v>
      </c>
      <c r="C945">
        <v>290.13330773568833</v>
      </c>
      <c r="D945">
        <v>13.79</v>
      </c>
      <c r="N945" s="46">
        <v>44749</v>
      </c>
      <c r="O945" t="s">
        <v>847</v>
      </c>
    </row>
    <row r="946" spans="2:15">
      <c r="B946" s="46">
        <v>44750</v>
      </c>
      <c r="C946">
        <v>291.24893254056343</v>
      </c>
      <c r="D946">
        <v>11.11</v>
      </c>
      <c r="N946" s="46">
        <v>44750</v>
      </c>
      <c r="O946" t="s">
        <v>351</v>
      </c>
    </row>
    <row r="947" spans="2:15">
      <c r="B947" s="46">
        <v>44753</v>
      </c>
      <c r="C947">
        <v>293.17035758604175</v>
      </c>
      <c r="D947">
        <v>12.35</v>
      </c>
      <c r="N947" s="46">
        <v>44753</v>
      </c>
      <c r="O947" t="s">
        <v>959</v>
      </c>
    </row>
    <row r="948" spans="2:15">
      <c r="B948" s="46">
        <v>44754</v>
      </c>
      <c r="C948">
        <v>290.93269275003456</v>
      </c>
      <c r="D948">
        <v>14.07</v>
      </c>
      <c r="N948" s="46">
        <v>44754</v>
      </c>
      <c r="O948" t="s">
        <v>960</v>
      </c>
    </row>
    <row r="949" spans="2:15">
      <c r="B949" s="46">
        <v>44755</v>
      </c>
      <c r="C949">
        <v>292.23655711837256</v>
      </c>
      <c r="D949">
        <v>9.2799999999999994</v>
      </c>
      <c r="N949" s="46">
        <v>44755</v>
      </c>
      <c r="O949" t="s">
        <v>424</v>
      </c>
    </row>
    <row r="950" spans="2:15">
      <c r="B950" s="46">
        <v>44756</v>
      </c>
      <c r="C950">
        <v>289.10151206481504</v>
      </c>
      <c r="D950">
        <v>13.41</v>
      </c>
      <c r="N950" s="46">
        <v>44756</v>
      </c>
      <c r="O950" t="s">
        <v>961</v>
      </c>
    </row>
    <row r="951" spans="2:15">
      <c r="B951" s="46">
        <v>44757</v>
      </c>
      <c r="C951">
        <v>291.72286977311114</v>
      </c>
      <c r="D951">
        <v>11.03</v>
      </c>
      <c r="N951" s="46">
        <v>44757</v>
      </c>
      <c r="O951" t="s">
        <v>962</v>
      </c>
    </row>
    <row r="952" spans="2:15">
      <c r="B952" s="46">
        <v>44760</v>
      </c>
      <c r="C952">
        <v>293.47239165650063</v>
      </c>
      <c r="D952">
        <v>11.32</v>
      </c>
      <c r="N952" s="46">
        <v>44760</v>
      </c>
      <c r="O952" t="s">
        <v>949</v>
      </c>
    </row>
    <row r="953" spans="2:15">
      <c r="B953" s="46">
        <v>44761</v>
      </c>
      <c r="C953">
        <v>292.80702736865686</v>
      </c>
      <c r="D953">
        <v>9.19</v>
      </c>
      <c r="N953" s="46">
        <v>44761</v>
      </c>
      <c r="O953" t="s">
        <v>963</v>
      </c>
    </row>
    <row r="954" spans="2:15">
      <c r="B954" s="46">
        <v>44762</v>
      </c>
      <c r="C954">
        <v>296.33384727063299</v>
      </c>
      <c r="D954">
        <v>15.79</v>
      </c>
      <c r="N954" s="46">
        <v>44762</v>
      </c>
      <c r="O954" t="s">
        <v>719</v>
      </c>
    </row>
    <row r="955" spans="2:15">
      <c r="B955" s="46">
        <v>44763</v>
      </c>
      <c r="C955">
        <v>297.70660320285589</v>
      </c>
      <c r="D955">
        <v>16.04</v>
      </c>
      <c r="N955" s="46">
        <v>44763</v>
      </c>
      <c r="O955" t="s">
        <v>802</v>
      </c>
    </row>
    <row r="956" spans="2:15">
      <c r="B956" s="46">
        <v>44764</v>
      </c>
      <c r="C956">
        <v>298.70014289528444</v>
      </c>
      <c r="D956">
        <v>9.9700000000000006</v>
      </c>
      <c r="N956" s="46">
        <v>44764</v>
      </c>
      <c r="O956" t="s">
        <v>403</v>
      </c>
    </row>
    <row r="957" spans="2:15">
      <c r="B957" s="46">
        <v>44767</v>
      </c>
      <c r="C957">
        <v>299.25461341695848</v>
      </c>
      <c r="D957">
        <v>10.64</v>
      </c>
      <c r="N957" s="46">
        <v>44767</v>
      </c>
      <c r="O957" t="s">
        <v>964</v>
      </c>
    </row>
    <row r="958" spans="2:15">
      <c r="B958" s="46">
        <v>44768</v>
      </c>
      <c r="C958">
        <v>300.58647360868758</v>
      </c>
      <c r="D958">
        <v>9.74</v>
      </c>
      <c r="N958" s="46">
        <v>44768</v>
      </c>
      <c r="O958" t="s">
        <v>818</v>
      </c>
    </row>
    <row r="959" spans="2:15">
      <c r="B959" s="46">
        <v>44769</v>
      </c>
      <c r="C959">
        <v>302.27307270792835</v>
      </c>
      <c r="D959">
        <v>9.35</v>
      </c>
      <c r="N959" s="46">
        <v>44769</v>
      </c>
      <c r="O959" t="s">
        <v>965</v>
      </c>
    </row>
    <row r="960" spans="2:15">
      <c r="B960" s="46">
        <v>44770</v>
      </c>
      <c r="C960">
        <v>301.59693672954478</v>
      </c>
      <c r="D960">
        <v>10.84</v>
      </c>
      <c r="N960" s="46">
        <v>44770</v>
      </c>
      <c r="O960" t="s">
        <v>156</v>
      </c>
    </row>
    <row r="961" spans="2:15">
      <c r="B961" s="46">
        <v>44771</v>
      </c>
      <c r="C961">
        <v>301.19391552090178</v>
      </c>
      <c r="D961">
        <v>16.93</v>
      </c>
      <c r="N961" s="46">
        <v>44771</v>
      </c>
      <c r="O961" t="s">
        <v>966</v>
      </c>
    </row>
    <row r="962" spans="2:15">
      <c r="B962" s="46">
        <v>44774</v>
      </c>
      <c r="C962">
        <v>305.57508046317196</v>
      </c>
      <c r="D962">
        <v>15.89</v>
      </c>
      <c r="N962" s="46">
        <v>44774</v>
      </c>
      <c r="O962" t="s">
        <v>633</v>
      </c>
    </row>
    <row r="963" spans="2:15">
      <c r="B963" s="46">
        <v>44775</v>
      </c>
      <c r="C963">
        <v>308.02535797136227</v>
      </c>
      <c r="D963">
        <v>38.979999999999997</v>
      </c>
      <c r="N963" s="46">
        <v>44775</v>
      </c>
      <c r="O963" t="s">
        <v>967</v>
      </c>
    </row>
    <row r="964" spans="2:15">
      <c r="B964" s="46">
        <v>44776</v>
      </c>
      <c r="C964">
        <v>306.2777641103184</v>
      </c>
      <c r="D964">
        <v>17.7</v>
      </c>
      <c r="N964" s="46">
        <v>44776</v>
      </c>
      <c r="O964" t="s">
        <v>968</v>
      </c>
    </row>
    <row r="965" spans="2:15">
      <c r="B965" s="46">
        <v>44777</v>
      </c>
      <c r="C965">
        <v>307.59646575550681</v>
      </c>
      <c r="D965">
        <v>15.9</v>
      </c>
      <c r="N965" s="46">
        <v>44777</v>
      </c>
      <c r="O965" t="s">
        <v>846</v>
      </c>
    </row>
    <row r="966" spans="2:15">
      <c r="B966" s="46">
        <v>44778</v>
      </c>
      <c r="C966">
        <v>308.9364067981009</v>
      </c>
      <c r="D966">
        <v>10.09</v>
      </c>
      <c r="N966" s="46">
        <v>44778</v>
      </c>
      <c r="O966" t="s">
        <v>969</v>
      </c>
    </row>
    <row r="967" spans="2:15">
      <c r="B967" s="46">
        <v>44781</v>
      </c>
      <c r="C967">
        <v>311.20697068416939</v>
      </c>
      <c r="D967">
        <v>8.31</v>
      </c>
      <c r="N967" s="46">
        <v>44781</v>
      </c>
      <c r="O967" t="s">
        <v>970</v>
      </c>
    </row>
    <row r="968" spans="2:15">
      <c r="B968" s="46">
        <v>44783</v>
      </c>
      <c r="C968">
        <v>309.31917778902294</v>
      </c>
      <c r="D968">
        <v>8.92</v>
      </c>
      <c r="N968" s="46">
        <v>44783</v>
      </c>
      <c r="O968" t="s">
        <v>971</v>
      </c>
    </row>
    <row r="969" spans="2:15">
      <c r="B969" s="46">
        <v>44784</v>
      </c>
      <c r="C969">
        <v>304.42840411625451</v>
      </c>
      <c r="D969">
        <v>10.89</v>
      </c>
      <c r="N969" s="46">
        <v>44784</v>
      </c>
      <c r="O969" t="s">
        <v>972</v>
      </c>
    </row>
    <row r="970" spans="2:15">
      <c r="B970" s="46">
        <v>44785</v>
      </c>
      <c r="C970">
        <v>306.63700222483317</v>
      </c>
      <c r="D970">
        <v>6.42</v>
      </c>
      <c r="N970" s="46">
        <v>44785</v>
      </c>
      <c r="O970" t="s">
        <v>973</v>
      </c>
    </row>
    <row r="971" spans="2:15">
      <c r="B971" s="46">
        <v>44789</v>
      </c>
      <c r="C971">
        <v>308.62993905396149</v>
      </c>
      <c r="D971">
        <v>8.61</v>
      </c>
      <c r="N971" s="46">
        <v>44789</v>
      </c>
      <c r="O971" t="s">
        <v>974</v>
      </c>
    </row>
    <row r="972" spans="2:15">
      <c r="B972" s="46">
        <v>44790</v>
      </c>
      <c r="C972">
        <v>310.6201203123</v>
      </c>
      <c r="D972">
        <v>7.98</v>
      </c>
      <c r="N972" s="46">
        <v>44790</v>
      </c>
      <c r="O972" t="s">
        <v>975</v>
      </c>
    </row>
    <row r="973" spans="2:15">
      <c r="B973" s="46">
        <v>44791</v>
      </c>
      <c r="C973">
        <v>313.68894479446533</v>
      </c>
      <c r="D973">
        <v>9.8800000000000008</v>
      </c>
      <c r="N973" s="46">
        <v>44791</v>
      </c>
      <c r="O973" t="s">
        <v>976</v>
      </c>
    </row>
    <row r="974" spans="2:15">
      <c r="B974" s="46">
        <v>44792</v>
      </c>
      <c r="C974">
        <v>310.12597461305506</v>
      </c>
      <c r="D974">
        <v>10.42</v>
      </c>
      <c r="N974" s="46">
        <v>44792</v>
      </c>
      <c r="O974" t="s">
        <v>977</v>
      </c>
    </row>
    <row r="975" spans="2:15">
      <c r="B975" s="46">
        <v>44795</v>
      </c>
      <c r="C975">
        <v>312.45594089255127</v>
      </c>
      <c r="D975">
        <v>11.36</v>
      </c>
      <c r="N975" s="46">
        <v>44795</v>
      </c>
      <c r="O975" t="s">
        <v>978</v>
      </c>
    </row>
    <row r="976" spans="2:15">
      <c r="B976" s="46">
        <v>44796</v>
      </c>
      <c r="C976">
        <v>313.95493016335217</v>
      </c>
      <c r="D976">
        <v>9.34</v>
      </c>
      <c r="N976" s="46">
        <v>44796</v>
      </c>
      <c r="O976" t="s">
        <v>416</v>
      </c>
    </row>
    <row r="977" spans="2:15">
      <c r="B977" s="46">
        <v>44797</v>
      </c>
      <c r="C977">
        <v>312.19779527433064</v>
      </c>
      <c r="D977">
        <v>11.35</v>
      </c>
      <c r="N977" s="46">
        <v>44797</v>
      </c>
      <c r="O977" t="s">
        <v>979</v>
      </c>
    </row>
    <row r="978" spans="2:15">
      <c r="B978" s="46">
        <v>44798</v>
      </c>
      <c r="C978">
        <v>310.45738561359434</v>
      </c>
      <c r="D978">
        <v>7.76</v>
      </c>
      <c r="N978" s="46">
        <v>44798</v>
      </c>
      <c r="O978" t="s">
        <v>980</v>
      </c>
    </row>
    <row r="979" spans="2:15">
      <c r="B979" s="46">
        <v>44799</v>
      </c>
      <c r="C979">
        <v>310.9744024607557</v>
      </c>
      <c r="D979">
        <v>6.96</v>
      </c>
      <c r="N979" s="46">
        <v>44799</v>
      </c>
      <c r="O979" t="s">
        <v>981</v>
      </c>
    </row>
    <row r="980" spans="2:15">
      <c r="B980" s="46">
        <v>44802</v>
      </c>
      <c r="C980">
        <v>311.62345590742592</v>
      </c>
      <c r="D980">
        <v>11.36</v>
      </c>
      <c r="N980" s="46">
        <v>44802</v>
      </c>
      <c r="O980" t="s">
        <v>978</v>
      </c>
    </row>
    <row r="981" spans="2:15">
      <c r="B981" s="46">
        <v>44803</v>
      </c>
      <c r="C981">
        <v>318.46929981544099</v>
      </c>
      <c r="D981">
        <v>17.829999999999998</v>
      </c>
      <c r="N981" s="46">
        <v>44803</v>
      </c>
      <c r="O981" t="s">
        <v>982</v>
      </c>
    </row>
    <row r="982" spans="2:15">
      <c r="B982" s="46">
        <v>44805</v>
      </c>
      <c r="C982">
        <v>315.67872676413549</v>
      </c>
      <c r="D982">
        <v>13.25</v>
      </c>
      <c r="N982" s="46">
        <v>44805</v>
      </c>
      <c r="O982" t="s">
        <v>983</v>
      </c>
    </row>
    <row r="983" spans="2:15">
      <c r="B983" s="46">
        <v>44806</v>
      </c>
      <c r="C983">
        <v>321.11380508411031</v>
      </c>
      <c r="D983">
        <v>25.76</v>
      </c>
      <c r="N983" s="46">
        <v>44806</v>
      </c>
      <c r="O983" t="s">
        <v>984</v>
      </c>
    </row>
    <row r="984" spans="2:15">
      <c r="B984" s="46">
        <v>44809</v>
      </c>
      <c r="C984">
        <v>326.78248628241431</v>
      </c>
      <c r="D984">
        <v>17.47</v>
      </c>
      <c r="N984" s="46">
        <v>44809</v>
      </c>
      <c r="O984" t="s">
        <v>985</v>
      </c>
    </row>
    <row r="985" spans="2:15">
      <c r="B985" s="46">
        <v>44810</v>
      </c>
      <c r="C985">
        <v>325.16690867925132</v>
      </c>
      <c r="D985">
        <v>11.97</v>
      </c>
      <c r="N985" s="46">
        <v>44810</v>
      </c>
      <c r="O985" t="s">
        <v>986</v>
      </c>
    </row>
    <row r="986" spans="2:15">
      <c r="B986" s="46">
        <v>44811</v>
      </c>
      <c r="C986">
        <v>324.11037153188903</v>
      </c>
      <c r="D986">
        <v>8.09</v>
      </c>
      <c r="N986" s="46">
        <v>44811</v>
      </c>
      <c r="O986" t="s">
        <v>987</v>
      </c>
    </row>
    <row r="987" spans="2:15">
      <c r="B987" s="46">
        <v>44812</v>
      </c>
      <c r="C987">
        <v>327.84164252782426</v>
      </c>
      <c r="D987">
        <v>10.91</v>
      </c>
      <c r="N987" s="46">
        <v>44812</v>
      </c>
      <c r="O987" t="s">
        <v>988</v>
      </c>
    </row>
    <row r="988" spans="2:15">
      <c r="B988" s="46">
        <v>44813</v>
      </c>
      <c r="C988">
        <v>328.4740874664256</v>
      </c>
      <c r="D988">
        <v>9.41</v>
      </c>
      <c r="N988" s="46">
        <v>44813</v>
      </c>
      <c r="O988" t="s">
        <v>339</v>
      </c>
    </row>
    <row r="989" spans="2:15">
      <c r="B989" s="46">
        <v>44816</v>
      </c>
      <c r="C989">
        <v>328.86605360735678</v>
      </c>
      <c r="D989">
        <v>8.7100000000000009</v>
      </c>
      <c r="N989" s="46">
        <v>44816</v>
      </c>
      <c r="O989" t="s">
        <v>420</v>
      </c>
    </row>
    <row r="990" spans="2:15">
      <c r="B990" s="46">
        <v>44817</v>
      </c>
      <c r="C990">
        <v>332.31477463388887</v>
      </c>
      <c r="D990">
        <v>10.52</v>
      </c>
      <c r="N990" s="46">
        <v>44817</v>
      </c>
      <c r="O990" t="s">
        <v>288</v>
      </c>
    </row>
    <row r="991" spans="2:15">
      <c r="B991" s="46">
        <v>44818</v>
      </c>
      <c r="C991">
        <v>333.29066786129994</v>
      </c>
      <c r="D991">
        <v>12.27</v>
      </c>
      <c r="N991" s="46">
        <v>44818</v>
      </c>
      <c r="O991" t="s">
        <v>989</v>
      </c>
    </row>
    <row r="992" spans="2:15">
      <c r="B992" s="46">
        <v>44819</v>
      </c>
      <c r="C992">
        <v>332.06228630459327</v>
      </c>
      <c r="D992">
        <v>8.42</v>
      </c>
      <c r="N992" s="46">
        <v>44819</v>
      </c>
      <c r="O992" t="s">
        <v>426</v>
      </c>
    </row>
    <row r="993" spans="2:15">
      <c r="B993" s="46">
        <v>44820</v>
      </c>
      <c r="C993">
        <v>329.2976610035243</v>
      </c>
      <c r="D993">
        <v>12.49</v>
      </c>
      <c r="N993" s="46">
        <v>44820</v>
      </c>
      <c r="O993" t="s">
        <v>565</v>
      </c>
    </row>
    <row r="994" spans="2:15">
      <c r="B994" s="46">
        <v>44823</v>
      </c>
      <c r="C994">
        <v>333.50664413626231</v>
      </c>
      <c r="D994">
        <v>14.37</v>
      </c>
      <c r="N994" s="46">
        <v>44823</v>
      </c>
      <c r="O994" t="s">
        <v>613</v>
      </c>
    </row>
    <row r="995" spans="2:15">
      <c r="B995" s="46">
        <v>44824</v>
      </c>
      <c r="C995">
        <v>333.93599276808681</v>
      </c>
      <c r="D995">
        <v>9.5299999999999994</v>
      </c>
      <c r="N995" s="46">
        <v>44824</v>
      </c>
      <c r="O995" t="s">
        <v>990</v>
      </c>
    </row>
    <row r="996" spans="2:15">
      <c r="B996" s="46">
        <v>44825</v>
      </c>
      <c r="C996">
        <v>338.81019490134958</v>
      </c>
      <c r="D996">
        <v>20.99</v>
      </c>
      <c r="N996" s="46">
        <v>44825</v>
      </c>
      <c r="O996" t="s">
        <v>341</v>
      </c>
    </row>
    <row r="997" spans="2:15">
      <c r="B997" s="46">
        <v>44826</v>
      </c>
      <c r="C997">
        <v>342.89885213774352</v>
      </c>
      <c r="D997">
        <v>24.18</v>
      </c>
      <c r="N997" s="46">
        <v>44826</v>
      </c>
      <c r="O997" t="s">
        <v>991</v>
      </c>
    </row>
    <row r="998" spans="2:15">
      <c r="B998" s="46">
        <v>44827</v>
      </c>
      <c r="C998">
        <v>344.26657360362947</v>
      </c>
      <c r="D998">
        <v>22.84</v>
      </c>
      <c r="N998" s="46">
        <v>44827</v>
      </c>
      <c r="O998" t="s">
        <v>992</v>
      </c>
    </row>
    <row r="999" spans="2:15">
      <c r="B999" s="46">
        <v>44830</v>
      </c>
      <c r="C999">
        <v>330.69161526287462</v>
      </c>
      <c r="D999">
        <v>16.21</v>
      </c>
      <c r="N999" s="46">
        <v>44830</v>
      </c>
      <c r="O999" t="s">
        <v>993</v>
      </c>
    </row>
    <row r="1000" spans="2:15">
      <c r="B1000" s="46">
        <v>44831</v>
      </c>
      <c r="C1000">
        <v>332.77737113876259</v>
      </c>
      <c r="D1000">
        <v>9.99</v>
      </c>
      <c r="N1000" s="46">
        <v>44831</v>
      </c>
      <c r="O1000" t="s">
        <v>232</v>
      </c>
    </row>
    <row r="1001" spans="2:15">
      <c r="B1001" s="46">
        <v>44832</v>
      </c>
      <c r="C1001">
        <v>323.05562446484157</v>
      </c>
      <c r="D1001">
        <v>15.55</v>
      </c>
      <c r="N1001" s="46">
        <v>44832</v>
      </c>
      <c r="O1001" t="s">
        <v>936</v>
      </c>
    </row>
    <row r="1002" spans="2:15">
      <c r="B1002" s="46">
        <v>44833</v>
      </c>
      <c r="C1002">
        <v>330.92759902784206</v>
      </c>
      <c r="D1002">
        <v>18.28</v>
      </c>
      <c r="N1002" s="46">
        <v>44833</v>
      </c>
      <c r="O1002" t="s">
        <v>381</v>
      </c>
    </row>
    <row r="1003" spans="2:15">
      <c r="B1003" s="46">
        <v>44834</v>
      </c>
      <c r="C1003">
        <v>330.17858464320074</v>
      </c>
      <c r="D1003">
        <v>12.43</v>
      </c>
      <c r="N1003" s="46">
        <v>44834</v>
      </c>
      <c r="O1003" t="s">
        <v>994</v>
      </c>
    </row>
    <row r="1004" spans="2:15">
      <c r="B1004" s="46">
        <v>44837</v>
      </c>
      <c r="C1004">
        <v>322.48578415927744</v>
      </c>
      <c r="D1004">
        <v>9.11</v>
      </c>
      <c r="N1004" s="46">
        <v>44837</v>
      </c>
      <c r="O1004" t="s">
        <v>995</v>
      </c>
    </row>
    <row r="1005" spans="2:15">
      <c r="B1005" s="46">
        <v>44838</v>
      </c>
      <c r="C1005">
        <v>330.72401175694324</v>
      </c>
      <c r="D1005">
        <v>8.8000000000000007</v>
      </c>
      <c r="N1005" s="46">
        <v>44838</v>
      </c>
      <c r="O1005" t="s">
        <v>996</v>
      </c>
    </row>
    <row r="1006" spans="2:15">
      <c r="B1006" s="46">
        <v>44840</v>
      </c>
      <c r="C1006">
        <v>334.55186108783596</v>
      </c>
      <c r="D1006">
        <v>22.24</v>
      </c>
      <c r="N1006" s="46">
        <v>44840</v>
      </c>
      <c r="O1006" t="s">
        <v>997</v>
      </c>
    </row>
    <row r="1007" spans="2:15">
      <c r="B1007" s="46">
        <v>44841</v>
      </c>
      <c r="C1007">
        <v>332.07523771806655</v>
      </c>
      <c r="D1007">
        <v>10.51</v>
      </c>
      <c r="N1007" s="46">
        <v>44841</v>
      </c>
      <c r="O1007" t="s">
        <v>347</v>
      </c>
    </row>
    <row r="1008" spans="2:15">
      <c r="B1008" s="46">
        <v>44844</v>
      </c>
      <c r="C1008">
        <v>325.90094347643009</v>
      </c>
      <c r="D1008">
        <v>9.39</v>
      </c>
      <c r="N1008" s="46">
        <v>44844</v>
      </c>
      <c r="O1008" t="s">
        <v>998</v>
      </c>
    </row>
    <row r="1009" spans="2:15">
      <c r="B1009" s="46">
        <v>44845</v>
      </c>
      <c r="C1009">
        <v>324.31524281641236</v>
      </c>
      <c r="D1009">
        <v>10.61</v>
      </c>
      <c r="N1009" s="46">
        <v>44845</v>
      </c>
      <c r="O1009" t="s">
        <v>149</v>
      </c>
    </row>
    <row r="1010" spans="2:15">
      <c r="B1010" s="46">
        <v>44846</v>
      </c>
      <c r="C1010">
        <v>328.04194713413244</v>
      </c>
      <c r="D1010">
        <v>10.34</v>
      </c>
      <c r="N1010" s="46">
        <v>44846</v>
      </c>
      <c r="O1010" t="s">
        <v>343</v>
      </c>
    </row>
    <row r="1011" spans="2:15">
      <c r="B1011" s="46">
        <v>44847</v>
      </c>
      <c r="C1011">
        <v>326.65437279240285</v>
      </c>
      <c r="D1011">
        <v>7.27</v>
      </c>
      <c r="N1011" s="46">
        <v>44847</v>
      </c>
      <c r="O1011" t="s">
        <v>999</v>
      </c>
    </row>
    <row r="1012" spans="2:15">
      <c r="B1012" s="46">
        <v>44848</v>
      </c>
      <c r="C1012">
        <v>330.03534628863969</v>
      </c>
      <c r="D1012">
        <v>6.42</v>
      </c>
      <c r="N1012" s="46">
        <v>44848</v>
      </c>
      <c r="O1012" t="s">
        <v>973</v>
      </c>
    </row>
    <row r="1013" spans="2:15">
      <c r="B1013" s="46">
        <v>44851</v>
      </c>
      <c r="C1013">
        <v>330.21834890825545</v>
      </c>
      <c r="D1013">
        <v>6.93</v>
      </c>
      <c r="N1013" s="46">
        <v>44851</v>
      </c>
      <c r="O1013" t="s">
        <v>1000</v>
      </c>
    </row>
    <row r="1014" spans="2:15">
      <c r="B1014" s="46">
        <v>44852</v>
      </c>
      <c r="C1014">
        <v>338.13817056272381</v>
      </c>
      <c r="D1014">
        <v>20.89</v>
      </c>
      <c r="N1014" s="46">
        <v>44852</v>
      </c>
      <c r="O1014" t="s">
        <v>1001</v>
      </c>
    </row>
    <row r="1015" spans="2:15">
      <c r="B1015" s="46">
        <v>44853</v>
      </c>
      <c r="C1015">
        <v>344.16873796464233</v>
      </c>
      <c r="D1015">
        <v>16.3</v>
      </c>
      <c r="N1015" s="46">
        <v>44853</v>
      </c>
      <c r="O1015" t="s">
        <v>731</v>
      </c>
    </row>
    <row r="1016" spans="2:15">
      <c r="B1016" s="46">
        <v>44854</v>
      </c>
      <c r="C1016">
        <v>347.52628994987487</v>
      </c>
      <c r="D1016">
        <v>18.47</v>
      </c>
      <c r="N1016" s="46">
        <v>44854</v>
      </c>
      <c r="O1016" t="s">
        <v>782</v>
      </c>
    </row>
    <row r="1017" spans="2:15">
      <c r="B1017" s="46">
        <v>44855</v>
      </c>
      <c r="C1017">
        <v>343.52019186244792</v>
      </c>
      <c r="D1017">
        <v>27.37</v>
      </c>
      <c r="N1017" s="46">
        <v>44855</v>
      </c>
      <c r="O1017" t="s">
        <v>1002</v>
      </c>
    </row>
    <row r="1018" spans="2:15">
      <c r="B1018" s="46">
        <v>44858</v>
      </c>
      <c r="C1018">
        <v>345.54892151578753</v>
      </c>
      <c r="D1018">
        <v>3.17</v>
      </c>
      <c r="N1018" s="46">
        <v>44858</v>
      </c>
      <c r="O1018" t="s">
        <v>1003</v>
      </c>
    </row>
    <row r="1019" spans="2:15">
      <c r="B1019" s="46">
        <v>44859</v>
      </c>
      <c r="C1019">
        <v>344.19376775071004</v>
      </c>
      <c r="D1019">
        <v>17.239999999999998</v>
      </c>
      <c r="N1019" s="46">
        <v>44859</v>
      </c>
      <c r="O1019" t="s">
        <v>858</v>
      </c>
    </row>
    <row r="1020" spans="2:15">
      <c r="B1020" s="46">
        <v>44861</v>
      </c>
      <c r="C1020">
        <v>343.68481158736222</v>
      </c>
      <c r="D1020">
        <v>18.559999999999999</v>
      </c>
      <c r="N1020" s="46">
        <v>44861</v>
      </c>
      <c r="O1020" t="s">
        <v>457</v>
      </c>
    </row>
    <row r="1021" spans="2:15">
      <c r="B1021" s="46">
        <v>44862</v>
      </c>
      <c r="C1021">
        <v>343.68</v>
      </c>
      <c r="D1021">
        <v>13.07</v>
      </c>
      <c r="N1021" s="46">
        <v>44862</v>
      </c>
      <c r="O1021" t="s">
        <v>1004</v>
      </c>
    </row>
    <row r="1022" spans="2:15">
      <c r="B1022" s="46">
        <v>44865</v>
      </c>
      <c r="C1022">
        <v>346.54089056519251</v>
      </c>
      <c r="D1022">
        <v>13.83</v>
      </c>
      <c r="N1022" s="46">
        <v>44865</v>
      </c>
      <c r="O1022" t="s">
        <v>1005</v>
      </c>
    </row>
    <row r="1023" spans="2:15">
      <c r="B1023" s="46">
        <v>44866</v>
      </c>
      <c r="C1023">
        <v>347.3520109037492</v>
      </c>
      <c r="D1023">
        <v>19.670000000000002</v>
      </c>
      <c r="N1023" s="46">
        <v>44866</v>
      </c>
      <c r="O1023" t="s">
        <v>1006</v>
      </c>
    </row>
    <row r="1024" spans="2:15">
      <c r="B1024" s="46">
        <v>44867</v>
      </c>
      <c r="C1024">
        <v>352.42819305562085</v>
      </c>
      <c r="D1024">
        <v>16.78</v>
      </c>
      <c r="N1024" s="46">
        <v>44867</v>
      </c>
      <c r="O1024" t="s">
        <v>1007</v>
      </c>
    </row>
    <row r="1025" spans="2:15">
      <c r="B1025" s="46">
        <v>44868</v>
      </c>
      <c r="C1025">
        <v>351.53949156627226</v>
      </c>
      <c r="D1025">
        <v>10.74</v>
      </c>
      <c r="N1025" s="46">
        <v>44868</v>
      </c>
      <c r="O1025" t="s">
        <v>791</v>
      </c>
    </row>
    <row r="1026" spans="2:15">
      <c r="B1026" s="46">
        <v>44869</v>
      </c>
      <c r="C1026">
        <v>351.4310542931629</v>
      </c>
      <c r="D1026">
        <v>8.39</v>
      </c>
      <c r="N1026" s="46">
        <v>44869</v>
      </c>
      <c r="O1026" t="s">
        <v>1008</v>
      </c>
    </row>
    <row r="1027" spans="2:15">
      <c r="B1027" s="46">
        <v>44872</v>
      </c>
      <c r="C1027">
        <v>351.34105402316203</v>
      </c>
      <c r="D1027">
        <v>10.050000000000001</v>
      </c>
      <c r="N1027" s="46">
        <v>44872</v>
      </c>
      <c r="O1027" t="s">
        <v>1009</v>
      </c>
    </row>
    <row r="1028" spans="2:15">
      <c r="B1028" s="46">
        <v>44874</v>
      </c>
      <c r="C1028">
        <v>358.41688295587699</v>
      </c>
      <c r="D1028">
        <v>20.61</v>
      </c>
      <c r="N1028" s="46">
        <v>44874</v>
      </c>
      <c r="O1028" t="s">
        <v>726</v>
      </c>
    </row>
    <row r="1029" spans="2:15">
      <c r="B1029" s="46">
        <v>44875</v>
      </c>
      <c r="C1029">
        <v>353.86600258033542</v>
      </c>
      <c r="D1029">
        <v>19.329999999999998</v>
      </c>
      <c r="N1029" s="46">
        <v>44875</v>
      </c>
      <c r="O1029" t="s">
        <v>1010</v>
      </c>
    </row>
    <row r="1030" spans="2:15">
      <c r="B1030" s="46">
        <v>44876</v>
      </c>
      <c r="C1030">
        <v>354.16645833541662</v>
      </c>
      <c r="D1030">
        <v>10.95</v>
      </c>
      <c r="N1030" s="46">
        <v>44876</v>
      </c>
      <c r="O1030" t="s">
        <v>1011</v>
      </c>
    </row>
    <row r="1031" spans="2:15">
      <c r="B1031" s="46">
        <v>44879</v>
      </c>
      <c r="C1031">
        <v>345.15870578738736</v>
      </c>
      <c r="D1031">
        <v>17.64</v>
      </c>
      <c r="N1031" s="46">
        <v>44879</v>
      </c>
      <c r="O1031" t="s">
        <v>1012</v>
      </c>
    </row>
    <row r="1032" spans="2:15">
      <c r="B1032" s="46">
        <v>44880</v>
      </c>
      <c r="C1032">
        <v>343.15921691614727</v>
      </c>
      <c r="D1032">
        <v>15.45</v>
      </c>
      <c r="N1032" s="46">
        <v>44880</v>
      </c>
      <c r="O1032" t="s">
        <v>813</v>
      </c>
    </row>
    <row r="1033" spans="2:15">
      <c r="B1033" s="46">
        <v>44881</v>
      </c>
      <c r="C1033">
        <v>342.0012860424394</v>
      </c>
      <c r="D1033">
        <v>7.6</v>
      </c>
      <c r="N1033" s="46">
        <v>44881</v>
      </c>
      <c r="O1033" t="s">
        <v>1013</v>
      </c>
    </row>
    <row r="1034" spans="2:15">
      <c r="B1034" s="46">
        <v>44882</v>
      </c>
      <c r="C1034">
        <v>341.60409924919099</v>
      </c>
      <c r="D1034">
        <v>9.99</v>
      </c>
      <c r="N1034" s="46">
        <v>44882</v>
      </c>
      <c r="O1034" t="s">
        <v>232</v>
      </c>
    </row>
    <row r="1035" spans="2:15">
      <c r="B1035" s="46">
        <v>44883</v>
      </c>
      <c r="C1035">
        <v>338.98610192984859</v>
      </c>
      <c r="D1035">
        <v>7.84</v>
      </c>
      <c r="N1035" s="46">
        <v>44883</v>
      </c>
      <c r="O1035" t="s">
        <v>1014</v>
      </c>
    </row>
    <row r="1036" spans="2:15">
      <c r="B1036" s="46">
        <v>44886</v>
      </c>
      <c r="C1036">
        <v>335.17787509988631</v>
      </c>
      <c r="D1036">
        <v>9.1999999999999993</v>
      </c>
      <c r="N1036" s="46">
        <v>44886</v>
      </c>
      <c r="O1036" t="s">
        <v>1015</v>
      </c>
    </row>
    <row r="1037" spans="2:15">
      <c r="B1037" s="46">
        <v>44887</v>
      </c>
      <c r="C1037">
        <v>338.13956743893056</v>
      </c>
      <c r="D1037">
        <v>6.5</v>
      </c>
      <c r="N1037" s="46">
        <v>44887</v>
      </c>
      <c r="O1037" t="s">
        <v>1016</v>
      </c>
    </row>
    <row r="1038" spans="2:15">
      <c r="B1038" s="46">
        <v>44888</v>
      </c>
      <c r="C1038">
        <v>337.72439041707548</v>
      </c>
      <c r="D1038">
        <v>7.77</v>
      </c>
      <c r="N1038" s="46">
        <v>44888</v>
      </c>
      <c r="O1038" t="s">
        <v>623</v>
      </c>
    </row>
    <row r="1039" spans="2:15">
      <c r="B1039" s="46">
        <v>44889</v>
      </c>
      <c r="C1039">
        <v>338.65051778550207</v>
      </c>
      <c r="D1039">
        <v>8.14</v>
      </c>
      <c r="N1039" s="46">
        <v>44889</v>
      </c>
      <c r="O1039" t="s">
        <v>1017</v>
      </c>
    </row>
    <row r="1040" spans="2:15">
      <c r="B1040" s="46">
        <v>44890</v>
      </c>
      <c r="C1040">
        <v>338.22439691715994</v>
      </c>
      <c r="D1040">
        <v>6.93</v>
      </c>
      <c r="N1040" s="46">
        <v>44890</v>
      </c>
      <c r="O1040" t="s">
        <v>1000</v>
      </c>
    </row>
    <row r="1041" spans="2:15">
      <c r="B1041" s="46">
        <v>44893</v>
      </c>
      <c r="C1041">
        <v>337.97236580656067</v>
      </c>
      <c r="D1041">
        <v>9.9</v>
      </c>
      <c r="N1041" s="46">
        <v>44893</v>
      </c>
      <c r="O1041" t="s">
        <v>1018</v>
      </c>
    </row>
    <row r="1042" spans="2:15">
      <c r="B1042" s="46">
        <v>44894</v>
      </c>
      <c r="C1042">
        <v>340.17754828181342</v>
      </c>
      <c r="D1042">
        <v>10.19</v>
      </c>
      <c r="N1042" s="46">
        <v>44894</v>
      </c>
      <c r="O1042" t="s">
        <v>764</v>
      </c>
    </row>
    <row r="1043" spans="2:15">
      <c r="B1043" s="46">
        <v>44895</v>
      </c>
      <c r="C1043">
        <v>337.94264215702452</v>
      </c>
      <c r="D1043">
        <v>22.56</v>
      </c>
      <c r="N1043" s="46">
        <v>44895</v>
      </c>
      <c r="O1043" t="s">
        <v>521</v>
      </c>
    </row>
    <row r="1044" spans="2:15">
      <c r="B1044" s="46">
        <v>44896</v>
      </c>
      <c r="C1044">
        <v>337.47438716703323</v>
      </c>
      <c r="D1044">
        <v>16.63</v>
      </c>
      <c r="N1044" s="46">
        <v>44896</v>
      </c>
      <c r="O1044" t="s">
        <v>1019</v>
      </c>
    </row>
    <row r="1045" spans="2:15">
      <c r="B1045" s="46">
        <v>44897</v>
      </c>
      <c r="C1045">
        <v>335.11379307930861</v>
      </c>
      <c r="D1045">
        <v>8.39</v>
      </c>
      <c r="N1045" s="46">
        <v>44897</v>
      </c>
      <c r="O1045" t="s">
        <v>1008</v>
      </c>
    </row>
    <row r="1046" spans="2:15">
      <c r="B1046" s="46">
        <v>44900</v>
      </c>
      <c r="C1046">
        <v>334.69401632819591</v>
      </c>
      <c r="D1046">
        <v>9.7200000000000006</v>
      </c>
      <c r="N1046" s="46">
        <v>44900</v>
      </c>
      <c r="O1046" t="s">
        <v>1020</v>
      </c>
    </row>
    <row r="1047" spans="2:15">
      <c r="B1047" s="46">
        <v>44901</v>
      </c>
      <c r="C1047">
        <v>335.22463640581753</v>
      </c>
      <c r="D1047">
        <v>6.33</v>
      </c>
      <c r="N1047" s="46">
        <v>44901</v>
      </c>
      <c r="O1047" t="s">
        <v>1021</v>
      </c>
    </row>
    <row r="1048" spans="2:15">
      <c r="B1048" s="46">
        <v>44902</v>
      </c>
      <c r="C1048">
        <v>337.99194666842646</v>
      </c>
      <c r="D1048">
        <v>9.81</v>
      </c>
      <c r="N1048" s="46">
        <v>44902</v>
      </c>
      <c r="O1048" t="s">
        <v>402</v>
      </c>
    </row>
    <row r="1049" spans="2:15">
      <c r="B1049" s="46">
        <v>44903</v>
      </c>
      <c r="C1049">
        <v>336.34681734086701</v>
      </c>
      <c r="D1049">
        <v>6.2</v>
      </c>
      <c r="N1049" s="46">
        <v>44903</v>
      </c>
      <c r="O1049" t="s">
        <v>259</v>
      </c>
    </row>
    <row r="1050" spans="2:15">
      <c r="B1050" s="46">
        <v>44904</v>
      </c>
      <c r="C1050">
        <v>339.27980409743532</v>
      </c>
      <c r="D1050">
        <v>8.1300000000000008</v>
      </c>
      <c r="N1050" s="46">
        <v>44904</v>
      </c>
      <c r="O1050" t="s">
        <v>404</v>
      </c>
    </row>
    <row r="1051" spans="2:15">
      <c r="B1051" s="46">
        <v>44907</v>
      </c>
      <c r="C1051">
        <v>341.08192265809913</v>
      </c>
      <c r="D1051">
        <v>11.21</v>
      </c>
      <c r="N1051" s="46">
        <v>44907</v>
      </c>
      <c r="O1051" t="s">
        <v>1022</v>
      </c>
    </row>
    <row r="1052" spans="2:15">
      <c r="B1052" s="46">
        <v>44908</v>
      </c>
      <c r="C1052">
        <v>343.45595808293422</v>
      </c>
      <c r="D1052">
        <v>10.69</v>
      </c>
      <c r="N1052" s="46">
        <v>44908</v>
      </c>
      <c r="O1052" t="s">
        <v>815</v>
      </c>
    </row>
    <row r="1053" spans="2:15">
      <c r="B1053" s="46">
        <v>44909</v>
      </c>
      <c r="C1053">
        <v>343.29205975235851</v>
      </c>
      <c r="D1053">
        <v>7.38</v>
      </c>
      <c r="N1053" s="46">
        <v>44909</v>
      </c>
      <c r="O1053" t="s">
        <v>165</v>
      </c>
    </row>
    <row r="1054" spans="2:15">
      <c r="B1054" s="46">
        <v>44910</v>
      </c>
      <c r="C1054">
        <v>336.83399845970735</v>
      </c>
      <c r="D1054">
        <v>8.15</v>
      </c>
      <c r="N1054" s="46">
        <v>44910</v>
      </c>
      <c r="O1054" t="s">
        <v>861</v>
      </c>
    </row>
    <row r="1055" spans="2:15">
      <c r="B1055" s="46">
        <v>44911</v>
      </c>
      <c r="C1055">
        <v>333.08697265396461</v>
      </c>
      <c r="D1055">
        <v>12.43</v>
      </c>
      <c r="N1055" s="46">
        <v>44911</v>
      </c>
      <c r="O1055" t="s">
        <v>994</v>
      </c>
    </row>
    <row r="1056" spans="2:15">
      <c r="B1056" s="46">
        <v>44914</v>
      </c>
      <c r="C1056">
        <v>320.26394214561037</v>
      </c>
      <c r="D1056">
        <v>7.81</v>
      </c>
      <c r="N1056" s="46">
        <v>44914</v>
      </c>
      <c r="O1056" t="s">
        <v>205</v>
      </c>
    </row>
    <row r="1057" spans="2:15">
      <c r="B1057" s="46">
        <v>44915</v>
      </c>
      <c r="C1057">
        <v>319.8231982319823</v>
      </c>
      <c r="D1057">
        <v>5.48</v>
      </c>
      <c r="N1057" s="46">
        <v>44915</v>
      </c>
      <c r="O1057" t="s">
        <v>430</v>
      </c>
    </row>
    <row r="1058" spans="2:15">
      <c r="B1058" s="46">
        <v>44916</v>
      </c>
      <c r="C1058">
        <v>315.15632798021312</v>
      </c>
      <c r="D1058">
        <v>7.05</v>
      </c>
      <c r="N1058" s="46">
        <v>44916</v>
      </c>
      <c r="O1058" t="s">
        <v>169</v>
      </c>
    </row>
    <row r="1059" spans="2:15">
      <c r="B1059" s="46">
        <v>44917</v>
      </c>
      <c r="C1059">
        <v>312.60532103100348</v>
      </c>
      <c r="D1059">
        <v>6.58</v>
      </c>
      <c r="N1059" s="46">
        <v>44917</v>
      </c>
      <c r="O1059" t="s">
        <v>1023</v>
      </c>
    </row>
    <row r="1060" spans="2:15">
      <c r="B1060" s="46">
        <v>44918</v>
      </c>
      <c r="C1060">
        <v>307.22314960488166</v>
      </c>
      <c r="D1060">
        <v>10.07</v>
      </c>
      <c r="N1060" s="46">
        <v>44918</v>
      </c>
      <c r="O1060" t="s">
        <v>1024</v>
      </c>
    </row>
    <row r="1061" spans="2:15">
      <c r="B1061" s="46">
        <v>44921</v>
      </c>
      <c r="C1061">
        <v>314.52388521977679</v>
      </c>
      <c r="D1061">
        <v>9.57</v>
      </c>
      <c r="N1061" s="46">
        <v>44921</v>
      </c>
      <c r="O1061" t="s">
        <v>433</v>
      </c>
    </row>
    <row r="1062" spans="2:15">
      <c r="B1062" s="46">
        <v>44922</v>
      </c>
      <c r="C1062">
        <v>313.24346946918718</v>
      </c>
      <c r="D1062">
        <v>6.73</v>
      </c>
      <c r="N1062" s="46">
        <v>44922</v>
      </c>
      <c r="O1062" t="s">
        <v>1025</v>
      </c>
    </row>
    <row r="1063" spans="2:15">
      <c r="B1063" s="46">
        <v>44923</v>
      </c>
      <c r="C1063">
        <v>314.39805287399082</v>
      </c>
      <c r="D1063">
        <v>7.74</v>
      </c>
      <c r="N1063" s="46">
        <v>44923</v>
      </c>
      <c r="O1063" t="s">
        <v>1026</v>
      </c>
    </row>
    <row r="1064" spans="2:15">
      <c r="B1064" s="46">
        <v>44924</v>
      </c>
      <c r="C1064">
        <v>315.29117184718831</v>
      </c>
      <c r="D1064">
        <v>8.11</v>
      </c>
      <c r="N1064" s="46">
        <v>44924</v>
      </c>
      <c r="O1064" t="s">
        <v>144</v>
      </c>
    </row>
    <row r="1065" spans="2:15">
      <c r="B1065" s="46">
        <v>44925</v>
      </c>
      <c r="C1065">
        <v>311.76522947093025</v>
      </c>
      <c r="D1065">
        <v>6.96</v>
      </c>
      <c r="N1065" s="46">
        <v>44925</v>
      </c>
      <c r="O1065" t="s">
        <v>981</v>
      </c>
    </row>
    <row r="1066" spans="2:15">
      <c r="B1066" s="46">
        <v>44928</v>
      </c>
      <c r="C1066">
        <v>312.93779542597838</v>
      </c>
      <c r="D1066">
        <v>5.95</v>
      </c>
      <c r="N1066" s="46">
        <v>44928</v>
      </c>
      <c r="O1066" t="s">
        <v>227</v>
      </c>
    </row>
    <row r="1067" spans="2:15">
      <c r="B1067" s="46">
        <v>44929</v>
      </c>
      <c r="C1067">
        <v>311.32650030451612</v>
      </c>
      <c r="D1067">
        <v>6</v>
      </c>
      <c r="N1067" s="46">
        <v>44929</v>
      </c>
      <c r="O1067" t="s">
        <v>1027</v>
      </c>
    </row>
    <row r="1068" spans="2:15">
      <c r="B1068" s="46">
        <v>44930</v>
      </c>
      <c r="C1068">
        <v>307.48812852793748</v>
      </c>
      <c r="D1068">
        <v>6.69</v>
      </c>
      <c r="N1068" s="46">
        <v>44930</v>
      </c>
      <c r="O1068" t="s">
        <v>1028</v>
      </c>
    </row>
    <row r="1069" spans="2:15">
      <c r="B1069" s="46">
        <v>44931</v>
      </c>
      <c r="C1069">
        <v>313.45824872500117</v>
      </c>
      <c r="D1069">
        <v>8.17</v>
      </c>
      <c r="N1069" s="46">
        <v>44931</v>
      </c>
      <c r="O1069" t="s">
        <v>952</v>
      </c>
    </row>
    <row r="1070" spans="2:15">
      <c r="B1070" s="46">
        <v>44932</v>
      </c>
      <c r="C1070">
        <v>315.00487976577119</v>
      </c>
      <c r="D1070">
        <v>8.2799999999999994</v>
      </c>
      <c r="N1070" s="46">
        <v>44932</v>
      </c>
      <c r="O1070" t="s">
        <v>1029</v>
      </c>
    </row>
    <row r="1071" spans="2:15">
      <c r="B1071" s="46">
        <v>44935</v>
      </c>
      <c r="C1071">
        <v>317.81139697427233</v>
      </c>
      <c r="D1071">
        <v>10.62</v>
      </c>
      <c r="N1071" s="46">
        <v>44935</v>
      </c>
      <c r="O1071" t="s">
        <v>1030</v>
      </c>
    </row>
    <row r="1072" spans="2:15">
      <c r="B1072" s="46">
        <v>44936</v>
      </c>
      <c r="C1072">
        <v>313.51326483054663</v>
      </c>
      <c r="D1072">
        <v>6.95</v>
      </c>
      <c r="N1072" s="46">
        <v>44936</v>
      </c>
      <c r="O1072" t="s">
        <v>1031</v>
      </c>
    </row>
    <row r="1073" spans="2:15">
      <c r="B1073" s="46">
        <v>44937</v>
      </c>
      <c r="C1073">
        <v>311.97497479879036</v>
      </c>
      <c r="D1073">
        <v>4.58</v>
      </c>
      <c r="N1073" s="46">
        <v>44937</v>
      </c>
      <c r="O1073" t="s">
        <v>1032</v>
      </c>
    </row>
    <row r="1074" spans="2:15">
      <c r="B1074" s="46">
        <v>44938</v>
      </c>
      <c r="C1074">
        <v>310.14829874962624</v>
      </c>
      <c r="D1074">
        <v>6.64</v>
      </c>
      <c r="N1074" s="46">
        <v>44938</v>
      </c>
      <c r="O1074" t="s">
        <v>1033</v>
      </c>
    </row>
    <row r="1075" spans="2:15">
      <c r="B1075" s="46">
        <v>44939</v>
      </c>
      <c r="C1075">
        <v>309.11020063662102</v>
      </c>
      <c r="D1075">
        <v>14.41</v>
      </c>
      <c r="N1075" s="46">
        <v>44939</v>
      </c>
      <c r="O1075" t="s">
        <v>1034</v>
      </c>
    </row>
    <row r="1076" spans="2:15">
      <c r="B1076" s="46">
        <v>44942</v>
      </c>
      <c r="C1076">
        <v>310.44634036102411</v>
      </c>
      <c r="D1076">
        <v>8.25</v>
      </c>
      <c r="N1076" s="46">
        <v>44942</v>
      </c>
      <c r="O1076" t="s">
        <v>302</v>
      </c>
    </row>
    <row r="1077" spans="2:15">
      <c r="B1077" s="46">
        <v>44943</v>
      </c>
      <c r="C1077">
        <v>312.37063302075268</v>
      </c>
      <c r="D1077">
        <v>13.71</v>
      </c>
      <c r="N1077" s="46">
        <v>44943</v>
      </c>
      <c r="O1077" t="s">
        <v>1035</v>
      </c>
    </row>
    <row r="1078" spans="2:15">
      <c r="B1078" s="46">
        <v>44944</v>
      </c>
      <c r="C1078">
        <v>314.61734755097632</v>
      </c>
      <c r="D1078">
        <v>12.56</v>
      </c>
      <c r="N1078" s="46">
        <v>44944</v>
      </c>
      <c r="O1078" t="s">
        <v>1036</v>
      </c>
    </row>
    <row r="1079" spans="2:15">
      <c r="B1079" s="46">
        <v>44945</v>
      </c>
      <c r="C1079">
        <v>312.31342350676306</v>
      </c>
      <c r="D1079">
        <v>8.35</v>
      </c>
      <c r="N1079" s="46">
        <v>44945</v>
      </c>
      <c r="O1079" t="s">
        <v>1037</v>
      </c>
    </row>
    <row r="1080" spans="2:15">
      <c r="B1080" s="46">
        <v>44946</v>
      </c>
      <c r="C1080">
        <v>314.57672132262218</v>
      </c>
      <c r="D1080">
        <v>13.1</v>
      </c>
      <c r="N1080" s="46">
        <v>44946</v>
      </c>
      <c r="O1080" t="s">
        <v>724</v>
      </c>
    </row>
    <row r="1081" spans="2:15">
      <c r="B1081" s="46">
        <v>44949</v>
      </c>
      <c r="C1081">
        <v>317.53015216569639</v>
      </c>
      <c r="D1081">
        <v>7.12</v>
      </c>
      <c r="N1081" s="46">
        <v>44949</v>
      </c>
      <c r="O1081" t="s">
        <v>1038</v>
      </c>
    </row>
    <row r="1082" spans="2:15">
      <c r="B1082" s="46">
        <v>44950</v>
      </c>
      <c r="C1082">
        <v>318.67852757300739</v>
      </c>
      <c r="D1082">
        <v>12.3</v>
      </c>
      <c r="N1082" s="46">
        <v>44950</v>
      </c>
      <c r="O1082" t="s">
        <v>1039</v>
      </c>
    </row>
    <row r="1083" spans="2:15">
      <c r="B1083" s="46">
        <v>44951</v>
      </c>
      <c r="C1083">
        <v>318.9671292958364</v>
      </c>
      <c r="D1083">
        <v>12.5</v>
      </c>
      <c r="N1083" s="46">
        <v>44951</v>
      </c>
      <c r="O1083" t="s">
        <v>1040</v>
      </c>
    </row>
    <row r="1084" spans="2:15">
      <c r="B1084" s="46">
        <v>44953</v>
      </c>
      <c r="C1084">
        <v>325.25527420043409</v>
      </c>
      <c r="D1084">
        <v>21.04</v>
      </c>
      <c r="N1084" s="46">
        <v>44953</v>
      </c>
      <c r="O1084" t="s">
        <v>1041</v>
      </c>
    </row>
    <row r="1085" spans="2:15">
      <c r="B1085" s="46">
        <v>44956</v>
      </c>
      <c r="C1085">
        <v>324.20134704714667</v>
      </c>
      <c r="D1085">
        <v>14.09</v>
      </c>
      <c r="N1085" s="46">
        <v>44956</v>
      </c>
      <c r="O1085" t="s">
        <v>1042</v>
      </c>
    </row>
    <row r="1086" spans="2:15">
      <c r="B1086" s="46">
        <v>44957</v>
      </c>
      <c r="C1086">
        <v>331.21746337552077</v>
      </c>
      <c r="D1086">
        <v>17.13</v>
      </c>
      <c r="N1086" s="46">
        <v>44957</v>
      </c>
      <c r="O1086" t="s">
        <v>415</v>
      </c>
    </row>
    <row r="1087" spans="2:15">
      <c r="B1087" s="46">
        <v>44958</v>
      </c>
      <c r="C1087">
        <v>339.71269383768373</v>
      </c>
      <c r="D1087">
        <v>64.52</v>
      </c>
      <c r="N1087" s="46">
        <v>44958</v>
      </c>
      <c r="O1087" t="s">
        <v>1043</v>
      </c>
    </row>
    <row r="1088" spans="2:15">
      <c r="B1088" s="46">
        <v>44959</v>
      </c>
      <c r="C1088">
        <v>355.80063889588564</v>
      </c>
      <c r="D1088">
        <v>55.75</v>
      </c>
      <c r="N1088" s="46">
        <v>44959</v>
      </c>
      <c r="O1088" t="s">
        <v>1044</v>
      </c>
    </row>
    <row r="1089" spans="2:15">
      <c r="B1089" s="46">
        <v>44960</v>
      </c>
      <c r="C1089">
        <v>357.87067498355088</v>
      </c>
      <c r="D1089">
        <v>22.3</v>
      </c>
      <c r="N1089" s="46">
        <v>44960</v>
      </c>
      <c r="O1089" t="s">
        <v>1045</v>
      </c>
    </row>
    <row r="1090" spans="2:15">
      <c r="B1090" s="46">
        <v>44963</v>
      </c>
      <c r="C1090">
        <v>360.45404730859377</v>
      </c>
      <c r="D1090">
        <v>25.79</v>
      </c>
      <c r="N1090" s="46">
        <v>44963</v>
      </c>
      <c r="O1090" t="s">
        <v>1046</v>
      </c>
    </row>
    <row r="1091" spans="2:15">
      <c r="B1091" s="46">
        <v>44964</v>
      </c>
      <c r="C1091">
        <v>351.03302375129408</v>
      </c>
      <c r="D1091">
        <v>20.64</v>
      </c>
      <c r="N1091" s="46">
        <v>44964</v>
      </c>
      <c r="O1091" t="s">
        <v>1047</v>
      </c>
    </row>
    <row r="1092" spans="2:15">
      <c r="B1092" s="46">
        <v>44965</v>
      </c>
      <c r="C1092">
        <v>353.07810915723229</v>
      </c>
      <c r="D1092">
        <v>10.42</v>
      </c>
      <c r="N1092" s="46">
        <v>44965</v>
      </c>
      <c r="O1092" t="s">
        <v>977</v>
      </c>
    </row>
    <row r="1093" spans="2:15">
      <c r="B1093" s="46">
        <v>44966</v>
      </c>
      <c r="C1093">
        <v>351.89231623106809</v>
      </c>
      <c r="D1093">
        <v>11.86</v>
      </c>
      <c r="N1093" s="46">
        <v>44966</v>
      </c>
      <c r="O1093" t="s">
        <v>838</v>
      </c>
    </row>
    <row r="1094" spans="2:15">
      <c r="B1094" s="46">
        <v>44967</v>
      </c>
      <c r="C1094">
        <v>349.17688662026973</v>
      </c>
      <c r="D1094">
        <v>10.28</v>
      </c>
      <c r="N1094" s="46">
        <v>44967</v>
      </c>
      <c r="O1094" t="s">
        <v>390</v>
      </c>
    </row>
    <row r="1095" spans="2:15">
      <c r="B1095" s="46">
        <v>44970</v>
      </c>
      <c r="C1095">
        <v>351.80291117583943</v>
      </c>
      <c r="D1095">
        <v>9.9</v>
      </c>
      <c r="N1095" s="46">
        <v>44970</v>
      </c>
      <c r="O1095" t="s">
        <v>1018</v>
      </c>
    </row>
    <row r="1096" spans="2:15">
      <c r="B1096" s="46">
        <v>44971</v>
      </c>
      <c r="C1096">
        <v>363.23122338995154</v>
      </c>
      <c r="D1096">
        <v>29.13</v>
      </c>
      <c r="N1096" s="46">
        <v>44971</v>
      </c>
      <c r="O1096" t="s">
        <v>1048</v>
      </c>
    </row>
    <row r="1097" spans="2:15">
      <c r="B1097" s="46">
        <v>44972</v>
      </c>
      <c r="C1097">
        <v>359.38953284861338</v>
      </c>
      <c r="D1097">
        <v>12.21</v>
      </c>
      <c r="N1097" s="46">
        <v>44972</v>
      </c>
      <c r="O1097" t="s">
        <v>1049</v>
      </c>
    </row>
    <row r="1098" spans="2:15">
      <c r="B1098" s="46">
        <v>44973</v>
      </c>
      <c r="C1098">
        <v>359.67676290913386</v>
      </c>
      <c r="D1098">
        <v>9.7799999999999994</v>
      </c>
      <c r="N1098" s="46">
        <v>44973</v>
      </c>
      <c r="O1098" t="s">
        <v>1050</v>
      </c>
    </row>
    <row r="1099" spans="2:15">
      <c r="B1099" s="46">
        <v>44974</v>
      </c>
      <c r="C1099">
        <v>360.47206961446852</v>
      </c>
      <c r="D1099">
        <v>7.67</v>
      </c>
      <c r="N1099" s="46">
        <v>44974</v>
      </c>
      <c r="O1099" t="s">
        <v>1051</v>
      </c>
    </row>
    <row r="1100" spans="2:15">
      <c r="B1100" s="46">
        <v>44977</v>
      </c>
      <c r="C1100">
        <v>361.08386157435325</v>
      </c>
      <c r="D1100">
        <v>7.8</v>
      </c>
      <c r="N1100" s="46">
        <v>44977</v>
      </c>
      <c r="O1100" t="s">
        <v>175</v>
      </c>
    </row>
    <row r="1101" spans="2:15">
      <c r="B1101" s="46">
        <v>44978</v>
      </c>
      <c r="C1101">
        <v>359.4168925939519</v>
      </c>
      <c r="D1101">
        <v>8.26</v>
      </c>
      <c r="N1101" s="46">
        <v>44978</v>
      </c>
      <c r="O1101" t="s">
        <v>1052</v>
      </c>
    </row>
    <row r="1102" spans="2:15">
      <c r="B1102" s="46">
        <v>44979</v>
      </c>
      <c r="C1102">
        <v>360.8848428366008</v>
      </c>
      <c r="D1102">
        <v>8.9600000000000009</v>
      </c>
      <c r="N1102" s="46">
        <v>44979</v>
      </c>
      <c r="O1102" t="s">
        <v>1053</v>
      </c>
    </row>
    <row r="1103" spans="2:15">
      <c r="B1103" s="46">
        <v>44980</v>
      </c>
      <c r="C1103">
        <v>364.39428935964281</v>
      </c>
      <c r="D1103">
        <v>18.829999999999998</v>
      </c>
      <c r="N1103" s="46">
        <v>44980</v>
      </c>
      <c r="O1103" t="s">
        <v>1054</v>
      </c>
    </row>
    <row r="1104" spans="2:15">
      <c r="B1104" s="46">
        <v>44981</v>
      </c>
      <c r="C1104">
        <v>362.10317460317458</v>
      </c>
      <c r="D1104">
        <v>12.91</v>
      </c>
      <c r="N1104" s="46">
        <v>44981</v>
      </c>
      <c r="O1104" t="s">
        <v>1055</v>
      </c>
    </row>
    <row r="1105" spans="2:15">
      <c r="B1105" s="46">
        <v>44984</v>
      </c>
      <c r="C1105">
        <v>359.37695327149538</v>
      </c>
      <c r="D1105">
        <v>8.14</v>
      </c>
      <c r="N1105" s="46">
        <v>44984</v>
      </c>
      <c r="O1105" t="s">
        <v>1017</v>
      </c>
    </row>
    <row r="1106" spans="2:15">
      <c r="B1106" s="46">
        <v>44985</v>
      </c>
      <c r="C1106">
        <v>354.23100926533425</v>
      </c>
      <c r="D1106">
        <v>16.37</v>
      </c>
      <c r="N1106" s="46">
        <v>44985</v>
      </c>
      <c r="O1106" t="s">
        <v>399</v>
      </c>
    </row>
    <row r="1107" spans="2:15">
      <c r="B1107" s="46">
        <v>44986</v>
      </c>
      <c r="C1107">
        <v>356.04112982011952</v>
      </c>
      <c r="D1107">
        <v>7.77</v>
      </c>
      <c r="N1107" s="46">
        <v>44986</v>
      </c>
      <c r="O1107" t="s">
        <v>623</v>
      </c>
    </row>
    <row r="1108" spans="2:15">
      <c r="B1108" s="46">
        <v>44987</v>
      </c>
      <c r="C1108">
        <v>353.12930973270784</v>
      </c>
      <c r="D1108">
        <v>5.0199999999999996</v>
      </c>
      <c r="N1108" s="46">
        <v>44987</v>
      </c>
      <c r="O1108" t="s">
        <v>1056</v>
      </c>
    </row>
    <row r="1109" spans="2:15">
      <c r="B1109" s="46">
        <v>44988</v>
      </c>
      <c r="C1109">
        <v>361.84953761559609</v>
      </c>
      <c r="D1109">
        <v>8.18</v>
      </c>
      <c r="N1109" s="46">
        <v>44988</v>
      </c>
      <c r="O1109" t="s">
        <v>1057</v>
      </c>
    </row>
    <row r="1110" spans="2:15">
      <c r="B1110" s="46">
        <v>44991</v>
      </c>
      <c r="C1110">
        <v>364.91971166393188</v>
      </c>
      <c r="D1110">
        <v>10.71</v>
      </c>
      <c r="N1110" s="46">
        <v>44991</v>
      </c>
      <c r="O1110" t="s">
        <v>1058</v>
      </c>
    </row>
    <row r="1111" spans="2:15">
      <c r="B1111" s="46">
        <v>44993</v>
      </c>
      <c r="C1111">
        <v>368.89978992289844</v>
      </c>
      <c r="D1111">
        <v>8.92</v>
      </c>
      <c r="N1111" s="46">
        <v>44993</v>
      </c>
      <c r="O1111" t="s">
        <v>971</v>
      </c>
    </row>
    <row r="1112" spans="2:15">
      <c r="B1112" s="46">
        <v>44994</v>
      </c>
      <c r="C1112">
        <v>364.37554694336791</v>
      </c>
      <c r="D1112">
        <v>9.6300000000000008</v>
      </c>
      <c r="N1112" s="46">
        <v>44994</v>
      </c>
      <c r="O1112" t="s">
        <v>1059</v>
      </c>
    </row>
    <row r="1113" spans="2:15">
      <c r="B1113" s="46">
        <v>44995</v>
      </c>
      <c r="C1113">
        <v>364.8052575316521</v>
      </c>
      <c r="D1113">
        <v>8.36</v>
      </c>
      <c r="N1113" s="46">
        <v>44995</v>
      </c>
      <c r="O1113" t="s">
        <v>1060</v>
      </c>
    </row>
    <row r="1114" spans="2:15">
      <c r="B1114" s="46">
        <v>44998</v>
      </c>
      <c r="C1114">
        <v>360.76040516537853</v>
      </c>
      <c r="D1114">
        <v>8.7899999999999991</v>
      </c>
      <c r="N1114" s="46">
        <v>44998</v>
      </c>
      <c r="O1114" t="s">
        <v>1061</v>
      </c>
    </row>
    <row r="1115" spans="2:15">
      <c r="B1115" s="46">
        <v>44999</v>
      </c>
      <c r="C1115">
        <v>357.03677478780315</v>
      </c>
      <c r="D1115">
        <v>10.23</v>
      </c>
      <c r="N1115" s="46">
        <v>44999</v>
      </c>
      <c r="O1115" t="s">
        <v>798</v>
      </c>
    </row>
    <row r="1116" spans="2:15">
      <c r="B1116" s="46">
        <v>45000</v>
      </c>
      <c r="C1116">
        <v>356.72285378283027</v>
      </c>
      <c r="D1116">
        <v>8.42</v>
      </c>
      <c r="N1116" s="46">
        <v>45000</v>
      </c>
      <c r="O1116" t="s">
        <v>426</v>
      </c>
    </row>
    <row r="1117" spans="2:15">
      <c r="B1117" s="46">
        <v>45001</v>
      </c>
      <c r="C1117">
        <v>358.63063394576693</v>
      </c>
      <c r="D1117">
        <v>15.71</v>
      </c>
      <c r="N1117" s="46">
        <v>45001</v>
      </c>
      <c r="O1117" t="s">
        <v>812</v>
      </c>
    </row>
    <row r="1118" spans="2:15">
      <c r="B1118" s="46">
        <v>45002</v>
      </c>
      <c r="C1118">
        <v>353.15473898454263</v>
      </c>
      <c r="D1118">
        <v>48.9</v>
      </c>
      <c r="N1118" s="46">
        <v>45002</v>
      </c>
      <c r="O1118" t="s">
        <v>1062</v>
      </c>
    </row>
    <row r="1119" spans="2:15">
      <c r="B1119" s="46">
        <v>45005</v>
      </c>
      <c r="C1119">
        <v>356.12901677554055</v>
      </c>
      <c r="D1119">
        <v>10.119999999999999</v>
      </c>
      <c r="N1119" s="46">
        <v>45005</v>
      </c>
      <c r="O1119" t="s">
        <v>1063</v>
      </c>
    </row>
    <row r="1120" spans="2:15">
      <c r="B1120" s="46">
        <v>45006</v>
      </c>
      <c r="C1120">
        <v>354.43736743100413</v>
      </c>
      <c r="D1120">
        <v>11.61</v>
      </c>
      <c r="N1120" s="46">
        <v>45006</v>
      </c>
      <c r="O1120" t="s">
        <v>1064</v>
      </c>
    </row>
    <row r="1121" spans="2:15">
      <c r="B1121" s="46">
        <v>45007</v>
      </c>
      <c r="C1121">
        <v>355.16254158662667</v>
      </c>
      <c r="D1121">
        <v>4.7699999999999996</v>
      </c>
      <c r="N1121" s="46">
        <v>45007</v>
      </c>
      <c r="O1121" t="s">
        <v>1065</v>
      </c>
    </row>
    <row r="1122" spans="2:15">
      <c r="B1122" s="46">
        <v>45008</v>
      </c>
      <c r="C1122">
        <v>357.8624445917664</v>
      </c>
      <c r="D1122">
        <v>9.75</v>
      </c>
      <c r="N1122" s="46">
        <v>45008</v>
      </c>
      <c r="O1122" t="s">
        <v>268</v>
      </c>
    </row>
    <row r="1123" spans="2:15">
      <c r="B1123" s="46">
        <v>45009</v>
      </c>
      <c r="C1123">
        <v>356.07815998615928</v>
      </c>
      <c r="D1123">
        <v>9.93</v>
      </c>
      <c r="N1123" s="46">
        <v>45009</v>
      </c>
      <c r="O1123" t="s">
        <v>203</v>
      </c>
    </row>
    <row r="1124" spans="2:15">
      <c r="B1124" s="46">
        <v>45012</v>
      </c>
      <c r="C1124">
        <v>357.45570177192911</v>
      </c>
      <c r="D1124">
        <v>10.82</v>
      </c>
      <c r="N1124" s="46">
        <v>45012</v>
      </c>
      <c r="O1124" t="s">
        <v>1066</v>
      </c>
    </row>
    <row r="1125" spans="2:15">
      <c r="B1125" s="46">
        <v>45013</v>
      </c>
      <c r="C1125">
        <v>357.05428465141586</v>
      </c>
      <c r="D1125">
        <v>9.17</v>
      </c>
      <c r="N1125" s="46">
        <v>45013</v>
      </c>
      <c r="O1125" t="s">
        <v>250</v>
      </c>
    </row>
    <row r="1126" spans="2:15">
      <c r="B1126" s="46">
        <v>45014</v>
      </c>
      <c r="C1126">
        <v>359.8415725157713</v>
      </c>
      <c r="D1126">
        <v>10.16</v>
      </c>
      <c r="N1126" s="46">
        <v>45014</v>
      </c>
      <c r="O1126" t="s">
        <v>1067</v>
      </c>
    </row>
    <row r="1127" spans="2:15">
      <c r="B1127" s="46">
        <v>45016</v>
      </c>
      <c r="C1127">
        <v>360.57278854422913</v>
      </c>
      <c r="D1127">
        <v>9.51</v>
      </c>
      <c r="N1127" s="46">
        <v>45016</v>
      </c>
      <c r="O1127" t="s">
        <v>1068</v>
      </c>
    </row>
    <row r="1128" spans="2:15">
      <c r="B1128" s="46">
        <v>45019</v>
      </c>
      <c r="C1128">
        <v>356.29275513061566</v>
      </c>
      <c r="D1128">
        <v>7.06</v>
      </c>
      <c r="N1128" s="46">
        <v>45019</v>
      </c>
      <c r="O1128" t="s">
        <v>1069</v>
      </c>
    </row>
    <row r="1129" spans="2:15">
      <c r="B1129" s="46">
        <v>45021</v>
      </c>
      <c r="C1129">
        <v>363.22808083999371</v>
      </c>
      <c r="D1129">
        <v>11.61</v>
      </c>
      <c r="N1129" s="46">
        <v>45021</v>
      </c>
      <c r="O1129" t="s">
        <v>1064</v>
      </c>
    </row>
    <row r="1130" spans="2:15">
      <c r="B1130" s="46">
        <v>45022</v>
      </c>
      <c r="C1130">
        <v>364.18089547761309</v>
      </c>
      <c r="D1130">
        <v>12.9</v>
      </c>
      <c r="N1130" s="46">
        <v>45022</v>
      </c>
      <c r="O1130" t="s">
        <v>1070</v>
      </c>
    </row>
    <row r="1131" spans="2:15">
      <c r="B1131" s="46">
        <v>45026</v>
      </c>
      <c r="C1131">
        <v>365.30867543106166</v>
      </c>
      <c r="D1131">
        <v>6.78</v>
      </c>
      <c r="N1131" s="46">
        <v>45026</v>
      </c>
      <c r="O1131" t="s">
        <v>1071</v>
      </c>
    </row>
    <row r="1132" spans="2:15">
      <c r="B1132" s="46">
        <v>45027</v>
      </c>
      <c r="C1132">
        <v>372.25852636293831</v>
      </c>
      <c r="D1132">
        <v>18.239999999999998</v>
      </c>
      <c r="N1132" s="46">
        <v>45027</v>
      </c>
      <c r="O1132" t="s">
        <v>1072</v>
      </c>
    </row>
    <row r="1133" spans="2:15">
      <c r="B1133" s="46">
        <v>45028</v>
      </c>
      <c r="C1133">
        <v>370.04294266244506</v>
      </c>
      <c r="D1133">
        <v>9.75</v>
      </c>
      <c r="N1133" s="46">
        <v>45028</v>
      </c>
      <c r="O1133" t="s">
        <v>268</v>
      </c>
    </row>
    <row r="1134" spans="2:15">
      <c r="B1134" s="46">
        <v>45029</v>
      </c>
      <c r="C1134">
        <v>371.9306596057005</v>
      </c>
      <c r="D1134">
        <v>6.06</v>
      </c>
      <c r="N1134" s="46">
        <v>45029</v>
      </c>
      <c r="O1134" t="s">
        <v>225</v>
      </c>
    </row>
    <row r="1135" spans="2:15">
      <c r="B1135" s="46">
        <v>45033</v>
      </c>
      <c r="C1135">
        <v>376.18673852506959</v>
      </c>
      <c r="D1135">
        <v>11.04</v>
      </c>
      <c r="N1135" s="46">
        <v>45033</v>
      </c>
      <c r="O1135" t="s">
        <v>1073</v>
      </c>
    </row>
    <row r="1136" spans="2:15">
      <c r="B1136" s="46">
        <v>45034</v>
      </c>
      <c r="C1136">
        <v>374.69536250986289</v>
      </c>
      <c r="D1136">
        <v>9.49</v>
      </c>
      <c r="N1136" s="46">
        <v>45034</v>
      </c>
      <c r="O1136" t="s">
        <v>1074</v>
      </c>
    </row>
    <row r="1137" spans="2:15">
      <c r="B1137" s="46">
        <v>45035</v>
      </c>
      <c r="C1137">
        <v>374.90775055349673</v>
      </c>
      <c r="D1137">
        <v>9.74</v>
      </c>
      <c r="N1137" s="46">
        <v>45035</v>
      </c>
      <c r="O1137" t="s">
        <v>818</v>
      </c>
    </row>
    <row r="1138" spans="2:15">
      <c r="B1138" s="46">
        <v>45036</v>
      </c>
      <c r="C1138">
        <v>376.35532214243648</v>
      </c>
      <c r="D1138">
        <v>6.67</v>
      </c>
      <c r="N1138" s="46">
        <v>45036</v>
      </c>
      <c r="O1138" t="s">
        <v>270</v>
      </c>
    </row>
    <row r="1139" spans="2:15">
      <c r="B1139" s="46">
        <v>45037</v>
      </c>
      <c r="C1139">
        <v>383.7736290478195</v>
      </c>
      <c r="D1139">
        <v>14.25</v>
      </c>
      <c r="N1139" s="46">
        <v>45037</v>
      </c>
      <c r="O1139" t="s">
        <v>1075</v>
      </c>
    </row>
    <row r="1140" spans="2:15">
      <c r="B1140" s="46">
        <v>45040</v>
      </c>
      <c r="C1140">
        <v>384.26577307649615</v>
      </c>
      <c r="D1140">
        <v>5.98</v>
      </c>
      <c r="N1140" s="46">
        <v>45040</v>
      </c>
      <c r="O1140" t="s">
        <v>236</v>
      </c>
    </row>
    <row r="1141" spans="2:15">
      <c r="B1141" s="46">
        <v>45041</v>
      </c>
      <c r="C1141">
        <v>386.92291539592225</v>
      </c>
      <c r="D1141">
        <v>8.84</v>
      </c>
      <c r="N1141" s="46">
        <v>45041</v>
      </c>
      <c r="O1141" t="s">
        <v>269</v>
      </c>
    </row>
    <row r="1142" spans="2:15">
      <c r="B1142" s="46">
        <v>45042</v>
      </c>
      <c r="C1142">
        <v>387.60341074201745</v>
      </c>
      <c r="D1142">
        <v>7.62</v>
      </c>
      <c r="N1142" s="46">
        <v>45042</v>
      </c>
      <c r="O1142" t="s">
        <v>1076</v>
      </c>
    </row>
    <row r="1143" spans="2:15">
      <c r="B1143" s="46">
        <v>45043</v>
      </c>
      <c r="C1143">
        <v>391.09441040865278</v>
      </c>
      <c r="D1143">
        <v>12.61</v>
      </c>
      <c r="N1143" s="46">
        <v>45043</v>
      </c>
      <c r="O1143" t="s">
        <v>267</v>
      </c>
    </row>
    <row r="1144" spans="2:15">
      <c r="B1144" s="46">
        <v>45044</v>
      </c>
      <c r="C1144">
        <v>400.017995860952</v>
      </c>
      <c r="D1144">
        <v>12.72</v>
      </c>
      <c r="N1144" s="46">
        <v>45044</v>
      </c>
      <c r="O1144" t="s">
        <v>1077</v>
      </c>
    </row>
    <row r="1145" spans="2:15">
      <c r="B1145" s="46">
        <v>45048</v>
      </c>
      <c r="C1145">
        <v>399.09037634978506</v>
      </c>
      <c r="D1145">
        <v>10.25</v>
      </c>
      <c r="N1145" s="46">
        <v>45048</v>
      </c>
      <c r="O1145" t="s">
        <v>766</v>
      </c>
    </row>
    <row r="1146" spans="2:15">
      <c r="B1146" s="46">
        <v>45049</v>
      </c>
      <c r="C1146">
        <v>401.58429860488928</v>
      </c>
      <c r="D1146">
        <v>7.33</v>
      </c>
      <c r="N1146" s="46">
        <v>45049</v>
      </c>
      <c r="O1146" t="s">
        <v>1078</v>
      </c>
    </row>
    <row r="1147" spans="2:15">
      <c r="B1147" s="46">
        <v>45050</v>
      </c>
      <c r="C1147">
        <v>399.24395463727825</v>
      </c>
      <c r="D1147">
        <v>7.98</v>
      </c>
      <c r="N1147" s="46">
        <v>45050</v>
      </c>
      <c r="O1147" t="s">
        <v>975</v>
      </c>
    </row>
    <row r="1148" spans="2:15">
      <c r="B1148" s="46">
        <v>45051</v>
      </c>
      <c r="C1148">
        <v>403.08049811118514</v>
      </c>
      <c r="D1148">
        <v>12.41</v>
      </c>
      <c r="N1148" s="46">
        <v>45051</v>
      </c>
      <c r="O1148" t="s">
        <v>1079</v>
      </c>
    </row>
    <row r="1149" spans="2:15">
      <c r="B1149" s="46">
        <v>45054</v>
      </c>
      <c r="C1149">
        <v>405.63444502996316</v>
      </c>
      <c r="D1149">
        <v>7.24</v>
      </c>
      <c r="N1149" s="46">
        <v>45054</v>
      </c>
      <c r="O1149" t="s">
        <v>1080</v>
      </c>
    </row>
    <row r="1150" spans="2:15">
      <c r="B1150" s="46">
        <v>45055</v>
      </c>
      <c r="C1150">
        <v>398.53053990556327</v>
      </c>
      <c r="D1150">
        <v>9.99</v>
      </c>
      <c r="N1150" s="46">
        <v>45055</v>
      </c>
      <c r="O1150" t="s">
        <v>232</v>
      </c>
    </row>
    <row r="1151" spans="2:15">
      <c r="B1151" s="46">
        <v>45056</v>
      </c>
      <c r="C1151">
        <v>399.90520350747022</v>
      </c>
      <c r="D1151">
        <v>9.75</v>
      </c>
      <c r="N1151" s="46">
        <v>45056</v>
      </c>
      <c r="O1151" t="s">
        <v>268</v>
      </c>
    </row>
    <row r="1152" spans="2:15">
      <c r="B1152" s="46">
        <v>45057</v>
      </c>
      <c r="C1152">
        <v>395.31585663937017</v>
      </c>
      <c r="D1152">
        <v>15.98</v>
      </c>
      <c r="N1152" s="46">
        <v>45057</v>
      </c>
      <c r="O1152" t="s">
        <v>1081</v>
      </c>
    </row>
    <row r="1153" spans="2:15">
      <c r="B1153" s="46">
        <v>45058</v>
      </c>
      <c r="C1153">
        <v>395.31960468039534</v>
      </c>
      <c r="D1153">
        <v>11.14</v>
      </c>
      <c r="N1153" s="46">
        <v>45058</v>
      </c>
      <c r="O1153" t="s">
        <v>1082</v>
      </c>
    </row>
    <row r="1154" spans="2:15">
      <c r="B1154" s="46">
        <v>45061</v>
      </c>
      <c r="C1154">
        <v>402.15962206613841</v>
      </c>
      <c r="D1154">
        <v>9.15</v>
      </c>
      <c r="N1154" s="46">
        <v>45061</v>
      </c>
      <c r="O1154" t="s">
        <v>448</v>
      </c>
    </row>
    <row r="1155" spans="2:15">
      <c r="B1155" s="46">
        <v>45062</v>
      </c>
      <c r="C1155">
        <v>398.64587812903164</v>
      </c>
      <c r="D1155">
        <v>7.99</v>
      </c>
      <c r="N1155" s="46">
        <v>45062</v>
      </c>
      <c r="O1155" t="s">
        <v>327</v>
      </c>
    </row>
    <row r="1156" spans="2:15">
      <c r="B1156" s="46">
        <v>45063</v>
      </c>
      <c r="C1156">
        <v>402.00542753323214</v>
      </c>
      <c r="D1156">
        <v>9.48</v>
      </c>
      <c r="N1156" s="46">
        <v>45063</v>
      </c>
      <c r="O1156" t="s">
        <v>1083</v>
      </c>
    </row>
    <row r="1157" spans="2:15">
      <c r="B1157" s="46">
        <v>45064</v>
      </c>
      <c r="C1157">
        <v>394.68301635802624</v>
      </c>
      <c r="D1157">
        <v>24</v>
      </c>
      <c r="N1157" s="46">
        <v>45064</v>
      </c>
      <c r="O1157" t="s">
        <v>1084</v>
      </c>
    </row>
    <row r="1158" spans="2:15">
      <c r="B1158" s="46">
        <v>45065</v>
      </c>
      <c r="C1158">
        <v>394.74842100631599</v>
      </c>
      <c r="D1158">
        <v>25.77</v>
      </c>
      <c r="N1158" s="46">
        <v>45065</v>
      </c>
      <c r="O1158" t="s">
        <v>1085</v>
      </c>
    </row>
    <row r="1159" spans="2:15">
      <c r="B1159" s="46">
        <v>45068</v>
      </c>
      <c r="C1159">
        <v>399.31328034619952</v>
      </c>
      <c r="D1159">
        <v>15.42</v>
      </c>
      <c r="N1159" s="46">
        <v>45068</v>
      </c>
      <c r="O1159" t="s">
        <v>788</v>
      </c>
    </row>
    <row r="1160" spans="2:15">
      <c r="B1160" s="46">
        <v>45069</v>
      </c>
      <c r="C1160">
        <v>403.45804036380213</v>
      </c>
      <c r="D1160">
        <v>8.73</v>
      </c>
      <c r="N1160" s="46">
        <v>45069</v>
      </c>
      <c r="O1160" t="s">
        <v>1086</v>
      </c>
    </row>
    <row r="1161" spans="2:15">
      <c r="B1161" s="46">
        <v>45070</v>
      </c>
      <c r="C1161">
        <v>407.54883756740571</v>
      </c>
      <c r="D1161">
        <v>11.48</v>
      </c>
      <c r="N1161" s="46">
        <v>45070</v>
      </c>
      <c r="O1161" t="s">
        <v>148</v>
      </c>
    </row>
    <row r="1162" spans="2:15">
      <c r="B1162" s="46">
        <v>45071</v>
      </c>
      <c r="C1162">
        <v>414.70701156596436</v>
      </c>
      <c r="D1162">
        <v>18.2</v>
      </c>
      <c r="N1162" s="46">
        <v>45071</v>
      </c>
      <c r="O1162" t="s">
        <v>1087</v>
      </c>
    </row>
    <row r="1163" spans="2:15">
      <c r="B1163" s="46">
        <v>45072</v>
      </c>
      <c r="C1163">
        <v>417.05664482788961</v>
      </c>
      <c r="D1163">
        <v>13</v>
      </c>
      <c r="N1163" s="46">
        <v>45072</v>
      </c>
      <c r="O1163" t="s">
        <v>845</v>
      </c>
    </row>
    <row r="1164" spans="2:15">
      <c r="B1164" s="46">
        <v>45075</v>
      </c>
      <c r="C1164">
        <v>422.197647491711</v>
      </c>
      <c r="D1164">
        <v>19.829999999999998</v>
      </c>
      <c r="N1164" s="46">
        <v>45075</v>
      </c>
      <c r="O1164" t="s">
        <v>1088</v>
      </c>
    </row>
    <row r="1165" spans="2:15">
      <c r="B1165" s="46">
        <v>45076</v>
      </c>
      <c r="C1165">
        <v>425.57595392368609</v>
      </c>
      <c r="D1165">
        <v>18.899999999999999</v>
      </c>
      <c r="N1165" s="46">
        <v>45076</v>
      </c>
      <c r="O1165" t="s">
        <v>1089</v>
      </c>
    </row>
    <row r="1166" spans="2:15">
      <c r="B1166" s="46">
        <v>45077</v>
      </c>
      <c r="C1166">
        <v>421.49130614800254</v>
      </c>
      <c r="D1166">
        <v>14.27</v>
      </c>
      <c r="N1166" s="46">
        <v>45077</v>
      </c>
      <c r="O1166" t="s">
        <v>1090</v>
      </c>
    </row>
    <row r="1167" spans="2:15">
      <c r="B1167" s="46">
        <v>45078</v>
      </c>
      <c r="C1167">
        <v>416.01408183063796</v>
      </c>
      <c r="D1167">
        <v>8.8000000000000007</v>
      </c>
      <c r="N1167" s="46">
        <v>45078</v>
      </c>
      <c r="O1167" t="s">
        <v>996</v>
      </c>
    </row>
    <row r="1168" spans="2:15">
      <c r="B1168" s="46">
        <v>45079</v>
      </c>
      <c r="C1168">
        <v>419.42476831946118</v>
      </c>
      <c r="D1168">
        <v>9.1999999999999993</v>
      </c>
      <c r="N1168" s="46">
        <v>45079</v>
      </c>
      <c r="O1168" t="s">
        <v>1015</v>
      </c>
    </row>
    <row r="1169" spans="2:15">
      <c r="B1169" s="46">
        <v>45082</v>
      </c>
      <c r="C1169">
        <v>416.88584692250919</v>
      </c>
      <c r="D1169">
        <v>7.15</v>
      </c>
      <c r="N1169" s="46">
        <v>45082</v>
      </c>
      <c r="O1169" t="s">
        <v>1091</v>
      </c>
    </row>
    <row r="1170" spans="2:15">
      <c r="B1170" s="46">
        <v>45083</v>
      </c>
      <c r="C1170">
        <v>418.86947539570559</v>
      </c>
      <c r="D1170">
        <v>6.45</v>
      </c>
      <c r="N1170" s="46">
        <v>45083</v>
      </c>
      <c r="O1170" t="s">
        <v>1092</v>
      </c>
    </row>
    <row r="1171" spans="2:15">
      <c r="B1171" s="46">
        <v>45084</v>
      </c>
      <c r="C1171">
        <v>419.96908080389909</v>
      </c>
      <c r="D1171">
        <v>7.54</v>
      </c>
      <c r="N1171" s="46">
        <v>45084</v>
      </c>
      <c r="O1171" t="s">
        <v>1093</v>
      </c>
    </row>
    <row r="1172" spans="2:15">
      <c r="B1172" s="46">
        <v>45085</v>
      </c>
      <c r="C1172">
        <v>419.00005600134403</v>
      </c>
      <c r="D1172">
        <v>7.02</v>
      </c>
      <c r="N1172" s="46">
        <v>45085</v>
      </c>
      <c r="O1172" t="s">
        <v>835</v>
      </c>
    </row>
    <row r="1173" spans="2:15">
      <c r="B1173" s="46">
        <v>45086</v>
      </c>
      <c r="C1173">
        <v>414.82148214821478</v>
      </c>
      <c r="D1173">
        <v>7.06</v>
      </c>
      <c r="N1173" s="46">
        <v>45086</v>
      </c>
      <c r="O1173" t="s">
        <v>1069</v>
      </c>
    </row>
    <row r="1174" spans="2:15">
      <c r="B1174" s="46">
        <v>45089</v>
      </c>
      <c r="C1174">
        <v>413.37405471786042</v>
      </c>
      <c r="D1174">
        <v>8.7200000000000006</v>
      </c>
      <c r="N1174" s="46">
        <v>45089</v>
      </c>
      <c r="O1174" t="s">
        <v>1094</v>
      </c>
    </row>
    <row r="1175" spans="2:15">
      <c r="B1175" s="46">
        <v>45090</v>
      </c>
      <c r="C1175">
        <v>421.26869514183761</v>
      </c>
      <c r="D1175">
        <v>16.11</v>
      </c>
      <c r="N1175" s="46">
        <v>45090</v>
      </c>
      <c r="O1175" t="s">
        <v>1095</v>
      </c>
    </row>
    <row r="1176" spans="2:15">
      <c r="B1176" s="46">
        <v>45091</v>
      </c>
      <c r="C1176">
        <v>420.5084101682034</v>
      </c>
      <c r="D1176">
        <v>8.6999999999999993</v>
      </c>
      <c r="N1176" s="46">
        <v>45091</v>
      </c>
      <c r="O1176" t="s">
        <v>355</v>
      </c>
    </row>
    <row r="1177" spans="2:15">
      <c r="B1177" s="46">
        <v>45092</v>
      </c>
      <c r="C1177">
        <v>423.87566607104827</v>
      </c>
      <c r="D1177">
        <v>7.5</v>
      </c>
      <c r="N1177" s="46">
        <v>45092</v>
      </c>
      <c r="O1177" t="s">
        <v>271</v>
      </c>
    </row>
    <row r="1178" spans="2:15">
      <c r="B1178" s="46">
        <v>45093</v>
      </c>
      <c r="C1178">
        <v>428.59199769625803</v>
      </c>
      <c r="D1178">
        <v>11.73</v>
      </c>
      <c r="N1178" s="46">
        <v>45093</v>
      </c>
      <c r="O1178" t="s">
        <v>1096</v>
      </c>
    </row>
    <row r="1179" spans="2:15">
      <c r="B1179" s="46">
        <v>45096</v>
      </c>
      <c r="C1179">
        <v>429.10527984192174</v>
      </c>
      <c r="D1179">
        <v>4.1900000000000004</v>
      </c>
      <c r="N1179" s="46">
        <v>45096</v>
      </c>
      <c r="O1179" t="s">
        <v>1097</v>
      </c>
    </row>
    <row r="1180" spans="2:15">
      <c r="B1180" s="46">
        <v>45097</v>
      </c>
      <c r="C1180">
        <v>428.4072829238097</v>
      </c>
      <c r="D1180">
        <v>4.47</v>
      </c>
      <c r="N1180" s="46">
        <v>45097</v>
      </c>
      <c r="O1180" t="s">
        <v>1098</v>
      </c>
    </row>
    <row r="1181" spans="2:15">
      <c r="B1181" s="46">
        <v>45098</v>
      </c>
      <c r="C1181">
        <v>422.97414069000837</v>
      </c>
      <c r="D1181">
        <v>6.06</v>
      </c>
      <c r="N1181" s="46">
        <v>45098</v>
      </c>
      <c r="O1181" t="s">
        <v>225</v>
      </c>
    </row>
    <row r="1182" spans="2:15">
      <c r="B1182" s="46">
        <v>45099</v>
      </c>
      <c r="C1182">
        <v>423.4744948315672</v>
      </c>
      <c r="D1182">
        <v>6.64</v>
      </c>
      <c r="N1182" s="46">
        <v>45099</v>
      </c>
      <c r="O1182" t="s">
        <v>1033</v>
      </c>
    </row>
    <row r="1183" spans="2:15">
      <c r="B1183" s="46">
        <v>45100</v>
      </c>
      <c r="C1183">
        <v>420.76734987774205</v>
      </c>
      <c r="D1183">
        <v>6.09</v>
      </c>
      <c r="N1183" s="46">
        <v>45100</v>
      </c>
      <c r="O1183" t="s">
        <v>1099</v>
      </c>
    </row>
    <row r="1184" spans="2:15">
      <c r="B1184" s="46">
        <v>45103</v>
      </c>
      <c r="C1184">
        <v>421.63114574593931</v>
      </c>
      <c r="D1184">
        <v>5.48</v>
      </c>
      <c r="N1184" s="46">
        <v>45103</v>
      </c>
      <c r="O1184" t="s">
        <v>430</v>
      </c>
    </row>
    <row r="1185" spans="2:15">
      <c r="B1185" s="46">
        <v>45104</v>
      </c>
      <c r="C1185">
        <v>421.07547398116179</v>
      </c>
      <c r="D1185">
        <v>4.87</v>
      </c>
      <c r="N1185" s="46">
        <v>45104</v>
      </c>
      <c r="O1185" t="s">
        <v>1100</v>
      </c>
    </row>
    <row r="1186" spans="2:15">
      <c r="B1186" s="46">
        <v>45105</v>
      </c>
      <c r="C1186">
        <v>425.04962028607281</v>
      </c>
      <c r="D1186">
        <v>12.08</v>
      </c>
      <c r="N1186" s="46">
        <v>45105</v>
      </c>
      <c r="O1186" t="s">
        <v>140</v>
      </c>
    </row>
    <row r="1187" spans="2:15">
      <c r="B1187" s="46">
        <v>45107</v>
      </c>
      <c r="C1187">
        <v>427.19864006799656</v>
      </c>
      <c r="D1187">
        <v>9.11</v>
      </c>
      <c r="N1187" s="46">
        <v>45107</v>
      </c>
      <c r="O1187" t="s">
        <v>995</v>
      </c>
    </row>
    <row r="1188" spans="2:15">
      <c r="B1188" s="46">
        <v>45110</v>
      </c>
      <c r="C1188">
        <v>438.12696324348315</v>
      </c>
      <c r="D1188">
        <v>10.7</v>
      </c>
      <c r="N1188" s="46">
        <v>45110</v>
      </c>
      <c r="O1188" t="s">
        <v>1101</v>
      </c>
    </row>
    <row r="1189" spans="2:15">
      <c r="B1189" s="46">
        <v>45111</v>
      </c>
      <c r="C1189">
        <v>441.14044359027946</v>
      </c>
      <c r="D1189">
        <v>7.73</v>
      </c>
      <c r="N1189" s="46">
        <v>45111</v>
      </c>
      <c r="O1189" t="s">
        <v>1102</v>
      </c>
    </row>
    <row r="1190" spans="2:15">
      <c r="B1190" s="46">
        <v>45112</v>
      </c>
      <c r="C1190">
        <v>449.36551928237486</v>
      </c>
      <c r="D1190">
        <v>16.25</v>
      </c>
      <c r="N1190" s="46">
        <v>45112</v>
      </c>
      <c r="O1190" t="s">
        <v>1103</v>
      </c>
    </row>
    <row r="1191" spans="2:15">
      <c r="B1191" s="46">
        <v>45113</v>
      </c>
      <c r="C1191">
        <v>448.33120828020702</v>
      </c>
      <c r="D1191">
        <v>9.4700000000000006</v>
      </c>
      <c r="N1191" s="46">
        <v>45113</v>
      </c>
      <c r="O1191" t="s">
        <v>1104</v>
      </c>
    </row>
    <row r="1192" spans="2:15">
      <c r="B1192" s="46">
        <v>45114</v>
      </c>
      <c r="C1192">
        <v>443.16140672317988</v>
      </c>
      <c r="D1192">
        <v>7.32</v>
      </c>
      <c r="N1192" s="46">
        <v>45114</v>
      </c>
      <c r="O1192" t="s">
        <v>1105</v>
      </c>
    </row>
    <row r="1193" spans="2:15">
      <c r="B1193" s="46">
        <v>45117</v>
      </c>
      <c r="C1193">
        <v>440.72379908515057</v>
      </c>
      <c r="D1193">
        <v>6.52</v>
      </c>
      <c r="N1193" s="46">
        <v>45117</v>
      </c>
      <c r="O1193" t="s">
        <v>1106</v>
      </c>
    </row>
    <row r="1194" spans="2:15">
      <c r="B1194" s="46">
        <v>45118</v>
      </c>
      <c r="C1194">
        <v>447.53973626140697</v>
      </c>
      <c r="D1194">
        <v>8.4600000000000009</v>
      </c>
      <c r="N1194" s="46">
        <v>45118</v>
      </c>
      <c r="O1194" t="s">
        <v>301</v>
      </c>
    </row>
    <row r="1195" spans="2:15">
      <c r="B1195" s="46">
        <v>45119</v>
      </c>
      <c r="C1195">
        <v>446.80804254476578</v>
      </c>
      <c r="D1195">
        <v>12.34</v>
      </c>
      <c r="N1195" s="46">
        <v>45119</v>
      </c>
      <c r="O1195" t="s">
        <v>1107</v>
      </c>
    </row>
    <row r="1196" spans="2:15">
      <c r="B1196" s="46">
        <v>45120</v>
      </c>
      <c r="C1196">
        <v>446.52267913607477</v>
      </c>
      <c r="D1196">
        <v>7.91</v>
      </c>
      <c r="N1196" s="46">
        <v>45120</v>
      </c>
      <c r="O1196" t="s">
        <v>304</v>
      </c>
    </row>
    <row r="1197" spans="2:15">
      <c r="B1197" s="46">
        <v>45121</v>
      </c>
      <c r="C1197">
        <v>447.36150013149751</v>
      </c>
      <c r="D1197">
        <v>5.08</v>
      </c>
      <c r="N1197" s="46">
        <v>45121</v>
      </c>
      <c r="O1197" t="s">
        <v>1108</v>
      </c>
    </row>
    <row r="1198" spans="2:15">
      <c r="B1198" s="46">
        <v>45124</v>
      </c>
      <c r="C1198">
        <v>446.85536226434721</v>
      </c>
      <c r="D1198">
        <v>6.09</v>
      </c>
      <c r="N1198" s="46">
        <v>45124</v>
      </c>
      <c r="O1198" t="s">
        <v>1099</v>
      </c>
    </row>
    <row r="1199" spans="2:15">
      <c r="B1199" s="46">
        <v>45125</v>
      </c>
      <c r="C1199">
        <v>446.98865903402293</v>
      </c>
      <c r="D1199">
        <v>5.35</v>
      </c>
      <c r="N1199" s="46">
        <v>45125</v>
      </c>
      <c r="O1199" t="s">
        <v>1109</v>
      </c>
    </row>
    <row r="1200" spans="2:15">
      <c r="B1200" s="46">
        <v>45126</v>
      </c>
      <c r="C1200">
        <v>452.93930613297812</v>
      </c>
      <c r="D1200">
        <v>13.87</v>
      </c>
      <c r="N1200" s="46">
        <v>45126</v>
      </c>
      <c r="O1200" t="s">
        <v>1110</v>
      </c>
    </row>
    <row r="1201" spans="2:15">
      <c r="B1201" s="46">
        <v>45127</v>
      </c>
      <c r="C1201">
        <v>465.45060473188454</v>
      </c>
      <c r="D1201">
        <v>20.25</v>
      </c>
      <c r="N1201" s="46">
        <v>45127</v>
      </c>
      <c r="O1201" t="s">
        <v>716</v>
      </c>
    </row>
    <row r="1202" spans="2:15">
      <c r="B1202" s="46">
        <v>45128</v>
      </c>
      <c r="C1202">
        <v>463.98623951838317</v>
      </c>
      <c r="D1202">
        <v>13.97</v>
      </c>
      <c r="N1202" s="46">
        <v>45128</v>
      </c>
      <c r="O1202" t="s">
        <v>1111</v>
      </c>
    </row>
    <row r="1203" spans="2:15">
      <c r="B1203" s="46">
        <v>45131</v>
      </c>
      <c r="C1203">
        <v>446.07352260029148</v>
      </c>
      <c r="D1203">
        <v>38.979999999999997</v>
      </c>
      <c r="N1203" s="46">
        <v>45131</v>
      </c>
      <c r="O1203" t="s">
        <v>967</v>
      </c>
    </row>
    <row r="1204" spans="2:15">
      <c r="B1204" s="46">
        <v>45132</v>
      </c>
      <c r="C1204">
        <v>437.42398540519775</v>
      </c>
      <c r="D1204">
        <v>43.53</v>
      </c>
      <c r="N1204" s="46">
        <v>45132</v>
      </c>
      <c r="O1204" t="s">
        <v>1112</v>
      </c>
    </row>
    <row r="1205" spans="2:15">
      <c r="B1205" s="46">
        <v>45133</v>
      </c>
      <c r="C1205">
        <v>446.66396724704185</v>
      </c>
      <c r="D1205">
        <v>18.14</v>
      </c>
      <c r="N1205" s="46">
        <v>45133</v>
      </c>
      <c r="O1205" t="s">
        <v>477</v>
      </c>
    </row>
    <row r="1206" spans="2:15">
      <c r="B1206" s="46">
        <v>45134</v>
      </c>
      <c r="C1206">
        <v>440.00688104591899</v>
      </c>
      <c r="D1206">
        <v>13.99</v>
      </c>
      <c r="N1206" s="46">
        <v>45134</v>
      </c>
      <c r="O1206" t="s">
        <v>1113</v>
      </c>
    </row>
    <row r="1207" spans="2:15">
      <c r="B1207" s="46">
        <v>45135</v>
      </c>
      <c r="C1207">
        <v>443.12765168142727</v>
      </c>
      <c r="D1207">
        <v>9.98</v>
      </c>
      <c r="N1207" s="46">
        <v>45135</v>
      </c>
      <c r="O1207" t="s">
        <v>315</v>
      </c>
    </row>
    <row r="1208" spans="2:15">
      <c r="B1208" s="46">
        <v>45138</v>
      </c>
      <c r="C1208">
        <v>440.58599457367984</v>
      </c>
      <c r="D1208">
        <v>8.19</v>
      </c>
      <c r="N1208" s="46">
        <v>45138</v>
      </c>
      <c r="O1208" t="s">
        <v>931</v>
      </c>
    </row>
    <row r="1209" spans="2:15">
      <c r="B1209" s="46">
        <v>45139</v>
      </c>
      <c r="C1209">
        <v>439.71835464873828</v>
      </c>
      <c r="D1209">
        <v>6.44</v>
      </c>
      <c r="N1209" s="46">
        <v>45139</v>
      </c>
      <c r="O1209" t="s">
        <v>1114</v>
      </c>
    </row>
    <row r="1210" spans="2:15">
      <c r="B1210" s="46">
        <v>45140</v>
      </c>
      <c r="C1210">
        <v>435.30396570053574</v>
      </c>
      <c r="D1210">
        <v>10.32</v>
      </c>
      <c r="N1210" s="46">
        <v>45140</v>
      </c>
      <c r="O1210" t="s">
        <v>1115</v>
      </c>
    </row>
    <row r="1211" spans="2:15">
      <c r="B1211" s="46">
        <v>45141</v>
      </c>
      <c r="C1211">
        <v>431.46796918128797</v>
      </c>
      <c r="D1211">
        <v>10.62</v>
      </c>
      <c r="N1211" s="46">
        <v>45141</v>
      </c>
      <c r="O1211" t="s">
        <v>1030</v>
      </c>
    </row>
    <row r="1212" spans="2:15">
      <c r="B1212" s="46">
        <v>45142</v>
      </c>
      <c r="C1212">
        <v>430.40032960791058</v>
      </c>
      <c r="D1212">
        <v>6.83</v>
      </c>
      <c r="N1212" s="46">
        <v>45142</v>
      </c>
      <c r="O1212" t="s">
        <v>1116</v>
      </c>
    </row>
    <row r="1213" spans="2:15">
      <c r="B1213" s="46">
        <v>45145</v>
      </c>
      <c r="C1213">
        <v>430.34043034043032</v>
      </c>
      <c r="D1213">
        <v>9.16</v>
      </c>
      <c r="N1213" s="46">
        <v>45145</v>
      </c>
      <c r="O1213" t="s">
        <v>1117</v>
      </c>
    </row>
    <row r="1214" spans="2:15">
      <c r="B1214" s="46">
        <v>45146</v>
      </c>
      <c r="C1214">
        <v>427.95396542206362</v>
      </c>
      <c r="D1214">
        <v>6.39</v>
      </c>
      <c r="N1214" s="46">
        <v>45146</v>
      </c>
      <c r="O1214" t="s">
        <v>1118</v>
      </c>
    </row>
    <row r="1215" spans="2:15">
      <c r="B1215" s="46">
        <v>45147</v>
      </c>
      <c r="C1215">
        <v>433.8296976720236</v>
      </c>
      <c r="D1215">
        <v>9.76</v>
      </c>
      <c r="N1215" s="46">
        <v>45147</v>
      </c>
      <c r="O1215" t="s">
        <v>206</v>
      </c>
    </row>
    <row r="1216" spans="2:15">
      <c r="B1216" s="46">
        <v>45148</v>
      </c>
      <c r="C1216">
        <v>427.42411361704256</v>
      </c>
      <c r="D1216">
        <v>13.19</v>
      </c>
      <c r="N1216" s="46">
        <v>45148</v>
      </c>
      <c r="O1216" t="s">
        <v>200</v>
      </c>
    </row>
    <row r="1217" spans="2:15">
      <c r="B1217" s="46">
        <v>45149</v>
      </c>
      <c r="C1217">
        <v>424.54802016933115</v>
      </c>
      <c r="D1217">
        <v>11.58</v>
      </c>
      <c r="N1217" s="46">
        <v>45149</v>
      </c>
      <c r="O1217" t="s">
        <v>1119</v>
      </c>
    </row>
    <row r="1218" spans="2:15">
      <c r="B1218" s="46">
        <v>45152</v>
      </c>
      <c r="C1218">
        <v>424.94575054249452</v>
      </c>
      <c r="D1218">
        <v>7.56</v>
      </c>
      <c r="N1218" s="46">
        <v>45152</v>
      </c>
      <c r="O1218" t="s">
        <v>1120</v>
      </c>
    </row>
    <row r="1219" spans="2:15">
      <c r="B1219" s="46">
        <v>45154</v>
      </c>
      <c r="C1219">
        <v>425.93020360531705</v>
      </c>
      <c r="D1219">
        <v>14.92</v>
      </c>
      <c r="N1219" s="46">
        <v>45154</v>
      </c>
      <c r="O1219" t="s">
        <v>1121</v>
      </c>
    </row>
    <row r="1220" spans="2:15">
      <c r="B1220" s="46">
        <v>45155</v>
      </c>
      <c r="C1220">
        <v>417.27554148600461</v>
      </c>
      <c r="D1220">
        <v>16.27</v>
      </c>
      <c r="N1220" s="46">
        <v>45155</v>
      </c>
      <c r="O1220" t="s">
        <v>1122</v>
      </c>
    </row>
    <row r="1221" spans="2:15">
      <c r="B1221" s="46">
        <v>45156</v>
      </c>
      <c r="C1221">
        <v>417.80373294400579</v>
      </c>
      <c r="D1221">
        <v>19.32</v>
      </c>
      <c r="N1221" s="46">
        <v>45156</v>
      </c>
      <c r="O1221" t="s">
        <v>1123</v>
      </c>
    </row>
    <row r="1222" spans="2:15">
      <c r="B1222" s="46">
        <v>45159</v>
      </c>
      <c r="C1222">
        <v>423.57112361381775</v>
      </c>
      <c r="D1222">
        <v>9.57</v>
      </c>
      <c r="N1222" s="46">
        <v>45159</v>
      </c>
      <c r="O1222" t="s">
        <v>433</v>
      </c>
    </row>
    <row r="1223" spans="2:15">
      <c r="B1223" s="46">
        <v>45160</v>
      </c>
      <c r="C1223">
        <v>429.66812778959837</v>
      </c>
      <c r="D1223">
        <v>9.85</v>
      </c>
      <c r="N1223" s="46">
        <v>45160</v>
      </c>
      <c r="O1223" t="s">
        <v>260</v>
      </c>
    </row>
    <row r="1224" spans="2:15">
      <c r="B1224" s="46">
        <v>45161</v>
      </c>
      <c r="C1224">
        <v>426.16579792702584</v>
      </c>
      <c r="D1224">
        <v>8.4499999999999993</v>
      </c>
      <c r="N1224" s="46">
        <v>45161</v>
      </c>
      <c r="O1224" t="s">
        <v>313</v>
      </c>
    </row>
    <row r="1225" spans="2:15">
      <c r="B1225" s="46">
        <v>45162</v>
      </c>
      <c r="C1225">
        <v>426.55573444265553</v>
      </c>
      <c r="D1225">
        <v>6.09</v>
      </c>
      <c r="N1225" s="46">
        <v>45162</v>
      </c>
      <c r="O1225" t="s">
        <v>1099</v>
      </c>
    </row>
    <row r="1226" spans="2:15">
      <c r="B1226" s="46">
        <v>45163</v>
      </c>
      <c r="C1226">
        <v>419.49005483915818</v>
      </c>
      <c r="D1226">
        <v>9.27</v>
      </c>
      <c r="N1226" s="46">
        <v>45163</v>
      </c>
      <c r="O1226" t="s">
        <v>1124</v>
      </c>
    </row>
    <row r="1227" spans="2:15">
      <c r="B1227" s="46">
        <v>45166</v>
      </c>
      <c r="C1227">
        <v>417.58837388845109</v>
      </c>
      <c r="D1227">
        <v>6.91</v>
      </c>
      <c r="N1227" s="46">
        <v>45166</v>
      </c>
      <c r="O1227" t="s">
        <v>1125</v>
      </c>
    </row>
    <row r="1228" spans="2:15">
      <c r="B1228" s="46">
        <v>45167</v>
      </c>
      <c r="C1228">
        <v>416.35207421015207</v>
      </c>
      <c r="D1228">
        <v>9.48</v>
      </c>
      <c r="N1228" s="46">
        <v>45167</v>
      </c>
      <c r="O1228" t="s">
        <v>1083</v>
      </c>
    </row>
    <row r="1229" spans="2:15">
      <c r="B1229" s="46">
        <v>45168</v>
      </c>
      <c r="C1229">
        <v>418.86444926859457</v>
      </c>
      <c r="D1229">
        <v>7.36</v>
      </c>
      <c r="N1229" s="46">
        <v>45168</v>
      </c>
      <c r="O1229" t="s">
        <v>1126</v>
      </c>
    </row>
    <row r="1230" spans="2:15">
      <c r="B1230" s="46">
        <v>45169</v>
      </c>
      <c r="C1230">
        <v>415.98911923834669</v>
      </c>
      <c r="D1230">
        <v>19.899999999999999</v>
      </c>
      <c r="N1230" s="46">
        <v>45169</v>
      </c>
      <c r="O1230" t="s">
        <v>1127</v>
      </c>
    </row>
    <row r="1231" spans="2:15">
      <c r="B1231" s="46">
        <v>45170</v>
      </c>
      <c r="C1231">
        <v>417.22706596095526</v>
      </c>
      <c r="D1231">
        <v>11.44</v>
      </c>
      <c r="N1231" s="46">
        <v>45170</v>
      </c>
      <c r="O1231" t="s">
        <v>199</v>
      </c>
    </row>
    <row r="1232" spans="2:15">
      <c r="B1232" s="46">
        <v>45173</v>
      </c>
      <c r="C1232">
        <v>413.91311304904389</v>
      </c>
      <c r="D1232">
        <v>13.6</v>
      </c>
      <c r="N1232" s="46">
        <v>45173</v>
      </c>
      <c r="O1232" t="s">
        <v>1128</v>
      </c>
    </row>
    <row r="1233" spans="2:15">
      <c r="B1233" s="46">
        <v>45174</v>
      </c>
      <c r="C1233">
        <v>419.12635182696619</v>
      </c>
      <c r="D1233">
        <v>8.3800000000000008</v>
      </c>
      <c r="N1233" s="46">
        <v>45174</v>
      </c>
      <c r="O1233" t="s">
        <v>1129</v>
      </c>
    </row>
    <row r="1234" spans="2:15">
      <c r="B1234" s="46">
        <v>45175</v>
      </c>
      <c r="C1234">
        <v>423.24852164487885</v>
      </c>
      <c r="D1234">
        <v>12.86</v>
      </c>
      <c r="N1234" s="46">
        <v>45175</v>
      </c>
      <c r="O1234" t="s">
        <v>349</v>
      </c>
    </row>
    <row r="1235" spans="2:15">
      <c r="B1235" s="46">
        <v>45176</v>
      </c>
      <c r="C1235">
        <v>421.84476456675981</v>
      </c>
      <c r="D1235">
        <v>8.09</v>
      </c>
      <c r="N1235" s="46">
        <v>45176</v>
      </c>
      <c r="O1235" t="s">
        <v>987</v>
      </c>
    </row>
    <row r="1236" spans="2:15">
      <c r="B1236" s="46">
        <v>45177</v>
      </c>
      <c r="C1236">
        <v>418.78057098168165</v>
      </c>
      <c r="D1236">
        <v>9.94</v>
      </c>
      <c r="N1236" s="46">
        <v>45177</v>
      </c>
      <c r="O1236" t="s">
        <v>793</v>
      </c>
    </row>
    <row r="1237" spans="2:15">
      <c r="B1237" s="46">
        <v>45180</v>
      </c>
      <c r="C1237">
        <v>423.01642930778132</v>
      </c>
      <c r="D1237">
        <v>9.32</v>
      </c>
      <c r="N1237" s="46">
        <v>45180</v>
      </c>
      <c r="O1237" t="s">
        <v>1130</v>
      </c>
    </row>
    <row r="1238" spans="2:15">
      <c r="B1238" s="46">
        <v>45181</v>
      </c>
      <c r="C1238">
        <v>426.75244578477094</v>
      </c>
      <c r="D1238">
        <v>14.41</v>
      </c>
      <c r="N1238" s="46">
        <v>45181</v>
      </c>
      <c r="O1238" t="s">
        <v>1034</v>
      </c>
    </row>
    <row r="1239" spans="2:15">
      <c r="B1239" s="46">
        <v>45182</v>
      </c>
      <c r="C1239">
        <v>428.99769212000979</v>
      </c>
      <c r="D1239">
        <v>11.81</v>
      </c>
      <c r="N1239" s="46">
        <v>45182</v>
      </c>
      <c r="O1239" t="s">
        <v>1131</v>
      </c>
    </row>
    <row r="1241" spans="2:15" ht="15" thickBot="1">
      <c r="B1241" s="66">
        <v>44896</v>
      </c>
      <c r="C1241" s="52"/>
      <c r="D1241" s="66"/>
      <c r="E1241" s="66"/>
      <c r="F1241" s="66"/>
      <c r="G1241" s="66"/>
      <c r="H1241" s="66"/>
      <c r="I1241" s="66"/>
      <c r="J1241" s="66"/>
      <c r="K1241" s="66"/>
      <c r="L1241" s="66"/>
      <c r="M1241" s="66"/>
    </row>
    <row r="1242" spans="2:15">
      <c r="B1242" s="67" t="s">
        <v>1151</v>
      </c>
      <c r="C1242" s="68">
        <v>0.37390000000000001</v>
      </c>
      <c r="D1242" s="68"/>
      <c r="E1242" s="68"/>
      <c r="F1242" s="68"/>
      <c r="G1242" s="68"/>
      <c r="H1242" s="68"/>
      <c r="I1242" s="68"/>
      <c r="J1242" s="68"/>
      <c r="K1242" s="68"/>
      <c r="L1242" s="68"/>
      <c r="M1242" s="68"/>
    </row>
    <row r="1243" spans="2:15">
      <c r="B1243" s="69" t="s">
        <v>1152</v>
      </c>
      <c r="C1243" s="70">
        <v>0.47410000000000002</v>
      </c>
      <c r="D1243" s="70"/>
      <c r="E1243" s="70"/>
      <c r="F1243" s="70"/>
      <c r="G1243" s="70"/>
      <c r="H1243" s="70"/>
      <c r="I1243" s="70"/>
      <c r="J1243" s="70"/>
      <c r="K1243" s="70"/>
      <c r="L1243" s="70"/>
      <c r="M1243" s="70"/>
    </row>
    <row r="1244" spans="2:15" ht="27.6">
      <c r="B1244" s="67" t="s">
        <v>1153</v>
      </c>
      <c r="C1244" s="68">
        <v>4.0000000000000002E-4</v>
      </c>
      <c r="D1244" s="68"/>
      <c r="E1244" s="68"/>
      <c r="F1244" s="68"/>
      <c r="G1244" s="68"/>
      <c r="H1244" s="68"/>
      <c r="I1244" s="68"/>
      <c r="J1244" s="68"/>
      <c r="K1244" s="68"/>
      <c r="L1244" s="68"/>
      <c r="M1244" s="68"/>
    </row>
    <row r="1245" spans="2:15" ht="27.6">
      <c r="B1245" s="69" t="s">
        <v>1154</v>
      </c>
      <c r="C1245" s="70">
        <v>0.15160000000000001</v>
      </c>
      <c r="D1245" s="70"/>
      <c r="E1245" s="70"/>
      <c r="F1245" s="70"/>
      <c r="G1245" s="70"/>
      <c r="H1245" s="70"/>
      <c r="I1245" s="70"/>
      <c r="J1245" s="70"/>
      <c r="K1245" s="70"/>
      <c r="L1245" s="70"/>
      <c r="M1245" s="70"/>
    </row>
    <row r="1246" spans="2:15" ht="41.4">
      <c r="B1246" s="71" t="s">
        <v>1155</v>
      </c>
      <c r="C1246" s="72">
        <v>3666407</v>
      </c>
      <c r="D1246" s="72"/>
      <c r="E1246" s="72"/>
      <c r="F1246" s="72"/>
      <c r="G1246" s="72"/>
      <c r="H1246" s="72"/>
      <c r="I1246" s="72"/>
      <c r="J1246" s="72"/>
      <c r="K1246" s="72"/>
      <c r="L1246" s="72"/>
      <c r="M1246" s="72"/>
    </row>
    <row r="1250" spans="8:9">
      <c r="H1250" t="s">
        <v>1156</v>
      </c>
      <c r="I1250" s="39">
        <v>0.37390000000000001</v>
      </c>
    </row>
    <row r="1251" spans="8:9">
      <c r="H1251" t="s">
        <v>1157</v>
      </c>
      <c r="I1251" s="39">
        <v>0.47410000000000002</v>
      </c>
    </row>
    <row r="1252" spans="8:9">
      <c r="H1252" t="s">
        <v>1158</v>
      </c>
      <c r="I1252" s="39">
        <v>0.152</v>
      </c>
    </row>
    <row r="1253" spans="8:9">
      <c r="I1253" s="43">
        <f>SUM(I1250:I1252)</f>
        <v>1</v>
      </c>
    </row>
    <row r="1254" spans="8:9">
      <c r="H1254" t="s">
        <v>1155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26"/>
  <sheetViews>
    <sheetView zoomScale="125" workbookViewId="0">
      <pane xSplit="1" ySplit="3" topLeftCell="B8" activePane="bottomRight" state="frozen"/>
      <selection activeCell="C4" sqref="C4"/>
      <selection pane="topRight" activeCell="C4" sqref="C4"/>
      <selection pane="bottomLeft" activeCell="C4" sqref="C4"/>
      <selection pane="bottomRight" activeCell="E26" sqref="E26:J26"/>
    </sheetView>
  </sheetViews>
  <sheetFormatPr defaultColWidth="8.77734375" defaultRowHeight="14.4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>
      <c r="A1" s="8" t="str">
        <f>'Profit &amp; Loss'!A1</f>
        <v>ITC LTD</v>
      </c>
      <c r="E1" t="str">
        <f>UPDATE</f>
        <v/>
      </c>
      <c r="G1"/>
      <c r="J1" s="4" t="s">
        <v>1</v>
      </c>
      <c r="K1" s="4"/>
    </row>
    <row r="2" spans="1:11">
      <c r="G2" s="8"/>
      <c r="H2" s="8"/>
    </row>
    <row r="3" spans="1:11" s="18" customFormat="1">
      <c r="A3" s="15" t="s">
        <v>2</v>
      </c>
      <c r="B3" s="16">
        <f>'Data Sheet'!B56</f>
        <v>42460</v>
      </c>
      <c r="C3" s="16">
        <f>'Data Sheet'!C56</f>
        <v>42825</v>
      </c>
      <c r="D3" s="16">
        <f>'Data Sheet'!D56</f>
        <v>43190</v>
      </c>
      <c r="E3" s="16">
        <f>'Data Sheet'!E56</f>
        <v>43555</v>
      </c>
      <c r="F3" s="16">
        <f>'Data Sheet'!F56</f>
        <v>43921</v>
      </c>
      <c r="G3" s="16">
        <f>'Data Sheet'!G56</f>
        <v>44286</v>
      </c>
      <c r="H3" s="16">
        <f>'Data Sheet'!H56</f>
        <v>44651</v>
      </c>
      <c r="I3" s="16">
        <f>'Data Sheet'!I56</f>
        <v>45016</v>
      </c>
      <c r="J3" s="16">
        <f>'Data Sheet'!J56</f>
        <v>45382</v>
      </c>
      <c r="K3" s="16">
        <f>'Data Sheet'!K56</f>
        <v>45747</v>
      </c>
    </row>
    <row r="4" spans="1:11">
      <c r="A4" s="6" t="s">
        <v>24</v>
      </c>
      <c r="B4" s="19">
        <f>'Data Sheet'!B57</f>
        <v>804.72</v>
      </c>
      <c r="C4" s="19">
        <f>'Data Sheet'!C57</f>
        <v>1214.74</v>
      </c>
      <c r="D4" s="19">
        <f>'Data Sheet'!D57</f>
        <v>1220.43</v>
      </c>
      <c r="E4" s="19">
        <f>'Data Sheet'!E57</f>
        <v>1225.8599999999999</v>
      </c>
      <c r="F4" s="19">
        <f>'Data Sheet'!F57</f>
        <v>1229.22</v>
      </c>
      <c r="G4" s="19">
        <f>'Data Sheet'!G57</f>
        <v>1230.8800000000001</v>
      </c>
      <c r="H4" s="19">
        <f>'Data Sheet'!H57</f>
        <v>1232.33</v>
      </c>
      <c r="I4" s="19">
        <f>'Data Sheet'!I57</f>
        <v>1242.8</v>
      </c>
      <c r="J4" s="19">
        <f>'Data Sheet'!J57</f>
        <v>1248.47</v>
      </c>
      <c r="K4" s="19">
        <f>'Data Sheet'!K57</f>
        <v>1251.4100000000001</v>
      </c>
    </row>
    <row r="5" spans="1:11" s="6" customFormat="1">
      <c r="A5" s="6" t="s">
        <v>25</v>
      </c>
      <c r="B5" s="19">
        <f>'Data Sheet'!B58</f>
        <v>41874.800000000003</v>
      </c>
      <c r="C5" s="19">
        <f>'Data Sheet'!C58</f>
        <v>45198.19</v>
      </c>
      <c r="D5" s="19">
        <f>'Data Sheet'!D58</f>
        <v>51289.68</v>
      </c>
      <c r="E5" s="19">
        <f>'Data Sheet'!E58</f>
        <v>57915.01</v>
      </c>
      <c r="F5" s="19">
        <f>'Data Sheet'!F58</f>
        <v>64044.04</v>
      </c>
      <c r="G5" s="19">
        <f>'Data Sheet'!G58</f>
        <v>59116.46</v>
      </c>
      <c r="H5" s="19">
        <f>'Data Sheet'!H58</f>
        <v>61223.24</v>
      </c>
      <c r="I5" s="19">
        <f>'Data Sheet'!I58</f>
        <v>67912.460000000006</v>
      </c>
      <c r="J5" s="19">
        <f>'Data Sheet'!J58</f>
        <v>73258.53</v>
      </c>
      <c r="K5" s="19">
        <f>'Data Sheet'!K58</f>
        <v>68778.64</v>
      </c>
    </row>
    <row r="6" spans="1:11">
      <c r="A6" s="11" t="s">
        <v>71</v>
      </c>
      <c r="B6" s="19">
        <f>'Data Sheet'!B59</f>
        <v>83.78</v>
      </c>
      <c r="C6" s="19">
        <f>'Data Sheet'!C59</f>
        <v>45.72</v>
      </c>
      <c r="D6" s="19">
        <f>'Data Sheet'!D59</f>
        <v>35.92</v>
      </c>
      <c r="E6" s="19">
        <f>'Data Sheet'!E59</f>
        <v>13.44</v>
      </c>
      <c r="F6" s="19">
        <f>'Data Sheet'!F59</f>
        <v>277.45</v>
      </c>
      <c r="G6" s="19">
        <f>'Data Sheet'!G59</f>
        <v>270.83</v>
      </c>
      <c r="H6" s="19">
        <f>'Data Sheet'!H59</f>
        <v>249.44</v>
      </c>
      <c r="I6" s="19">
        <f>'Data Sheet'!I59</f>
        <v>306.04000000000002</v>
      </c>
      <c r="J6" s="19">
        <f>'Data Sheet'!J59</f>
        <v>303.43</v>
      </c>
      <c r="K6" s="19">
        <f>'Data Sheet'!K59</f>
        <v>284.54000000000002</v>
      </c>
    </row>
    <row r="7" spans="1:11" s="6" customFormat="1">
      <c r="A7" s="11" t="s">
        <v>72</v>
      </c>
      <c r="B7" s="19">
        <f>'Data Sheet'!B60</f>
        <v>8888.0400000000009</v>
      </c>
      <c r="C7" s="19">
        <f>'Data Sheet'!C60</f>
        <v>9439.67</v>
      </c>
      <c r="D7" s="19">
        <f>'Data Sheet'!D60</f>
        <v>11694.85</v>
      </c>
      <c r="E7" s="19">
        <f>'Data Sheet'!E60</f>
        <v>12584.73</v>
      </c>
      <c r="F7" s="19">
        <f>'Data Sheet'!F60</f>
        <v>11760.04</v>
      </c>
      <c r="G7" s="19">
        <f>'Data Sheet'!G60</f>
        <v>13142.59</v>
      </c>
      <c r="H7" s="19">
        <f>'Data Sheet'!H60</f>
        <v>14491.01</v>
      </c>
      <c r="I7" s="19">
        <f>'Data Sheet'!I60</f>
        <v>16369.66</v>
      </c>
      <c r="J7" s="19">
        <f>'Data Sheet'!J60</f>
        <v>16943.54</v>
      </c>
      <c r="K7" s="19">
        <f>'Data Sheet'!K60</f>
        <v>17688.11</v>
      </c>
    </row>
    <row r="8" spans="1:11" s="8" customFormat="1">
      <c r="A8" s="8" t="s">
        <v>26</v>
      </c>
      <c r="B8" s="20">
        <f>'Data Sheet'!B61</f>
        <v>51651.34</v>
      </c>
      <c r="C8" s="20">
        <f>'Data Sheet'!C61</f>
        <v>55898.32</v>
      </c>
      <c r="D8" s="20">
        <f>'Data Sheet'!D61</f>
        <v>64240.88</v>
      </c>
      <c r="E8" s="20">
        <f>'Data Sheet'!E61</f>
        <v>71739.039999999994</v>
      </c>
      <c r="F8" s="20">
        <f>'Data Sheet'!F61</f>
        <v>77310.75</v>
      </c>
      <c r="G8" s="20">
        <f>'Data Sheet'!G61</f>
        <v>73760.759999999995</v>
      </c>
      <c r="H8" s="20">
        <f>'Data Sheet'!H61</f>
        <v>77196.02</v>
      </c>
      <c r="I8" s="20">
        <f>'Data Sheet'!I61</f>
        <v>85830.96</v>
      </c>
      <c r="J8" s="20">
        <f>'Data Sheet'!J61</f>
        <v>91753.97</v>
      </c>
      <c r="K8" s="20">
        <f>'Data Sheet'!K61</f>
        <v>88002.7</v>
      </c>
    </row>
    <row r="9" spans="1:11" s="8" customFormat="1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>
      <c r="A10" s="6" t="s">
        <v>27</v>
      </c>
      <c r="B10" s="19">
        <f>'Data Sheet'!B62</f>
        <v>15106.63</v>
      </c>
      <c r="C10" s="19">
        <f>'Data Sheet'!C62</f>
        <v>15893.48</v>
      </c>
      <c r="D10" s="19">
        <f>'Data Sheet'!D62</f>
        <v>16523.96</v>
      </c>
      <c r="E10" s="19">
        <f>'Data Sheet'!E62</f>
        <v>19374.189999999999</v>
      </c>
      <c r="F10" s="19">
        <f>'Data Sheet'!F62</f>
        <v>21713.34</v>
      </c>
      <c r="G10" s="19">
        <f>'Data Sheet'!G62</f>
        <v>23298.48</v>
      </c>
      <c r="H10" s="19">
        <f>'Data Sheet'!H62</f>
        <v>24231.59</v>
      </c>
      <c r="I10" s="19">
        <f>'Data Sheet'!I62</f>
        <v>25851.27</v>
      </c>
      <c r="J10" s="19">
        <f>'Data Sheet'!J62</f>
        <v>27820.22</v>
      </c>
      <c r="K10" s="19">
        <f>'Data Sheet'!K62</f>
        <v>21954.85</v>
      </c>
    </row>
    <row r="11" spans="1:11">
      <c r="A11" s="6" t="s">
        <v>28</v>
      </c>
      <c r="B11" s="19">
        <f>'Data Sheet'!B63</f>
        <v>2559.7199999999998</v>
      </c>
      <c r="C11" s="19">
        <f>'Data Sheet'!C63</f>
        <v>3729.89</v>
      </c>
      <c r="D11" s="19">
        <f>'Data Sheet'!D63</f>
        <v>5508.33</v>
      </c>
      <c r="E11" s="19">
        <f>'Data Sheet'!E63</f>
        <v>4136.42</v>
      </c>
      <c r="F11" s="19">
        <f>'Data Sheet'!F63</f>
        <v>3256.46</v>
      </c>
      <c r="G11" s="19">
        <f>'Data Sheet'!G63</f>
        <v>4011.29</v>
      </c>
      <c r="H11" s="19">
        <f>'Data Sheet'!H63</f>
        <v>3225.54</v>
      </c>
      <c r="I11" s="19">
        <f>'Data Sheet'!I63</f>
        <v>3003.3</v>
      </c>
      <c r="J11" s="19">
        <f>'Data Sheet'!J63</f>
        <v>2860.78</v>
      </c>
      <c r="K11" s="19">
        <f>'Data Sheet'!K63</f>
        <v>1090.9100000000001</v>
      </c>
    </row>
    <row r="12" spans="1:11">
      <c r="A12" s="6" t="s">
        <v>29</v>
      </c>
      <c r="B12" s="19">
        <f>'Data Sheet'!B64</f>
        <v>11747.59</v>
      </c>
      <c r="C12" s="19">
        <f>'Data Sheet'!C64</f>
        <v>17581.38</v>
      </c>
      <c r="D12" s="19">
        <f>'Data Sheet'!D64</f>
        <v>22052.86</v>
      </c>
      <c r="E12" s="19">
        <f>'Data Sheet'!E64</f>
        <v>25043.49</v>
      </c>
      <c r="F12" s="19">
        <f>'Data Sheet'!F64</f>
        <v>28663.35</v>
      </c>
      <c r="G12" s="19">
        <f>'Data Sheet'!G64</f>
        <v>24870.87</v>
      </c>
      <c r="H12" s="19">
        <f>'Data Sheet'!H64</f>
        <v>24841.01</v>
      </c>
      <c r="I12" s="19">
        <f>'Data Sheet'!I64</f>
        <v>29415.02</v>
      </c>
      <c r="J12" s="19">
        <f>'Data Sheet'!J64</f>
        <v>31114.02</v>
      </c>
      <c r="K12" s="19">
        <f>'Data Sheet'!K64</f>
        <v>34719.82</v>
      </c>
    </row>
    <row r="13" spans="1:11">
      <c r="A13" s="11" t="s">
        <v>73</v>
      </c>
      <c r="B13" s="19">
        <f>'Data Sheet'!B65</f>
        <v>22237.4</v>
      </c>
      <c r="C13" s="19">
        <f>'Data Sheet'!C65</f>
        <v>18693.57</v>
      </c>
      <c r="D13" s="19">
        <f>'Data Sheet'!D65</f>
        <v>20155.73</v>
      </c>
      <c r="E13" s="19">
        <f>'Data Sheet'!E65</f>
        <v>23184.94</v>
      </c>
      <c r="F13" s="19">
        <f>'Data Sheet'!F65</f>
        <v>23677.599999999999</v>
      </c>
      <c r="G13" s="19">
        <f>'Data Sheet'!G65</f>
        <v>21580.12</v>
      </c>
      <c r="H13" s="19">
        <f>'Data Sheet'!H65</f>
        <v>24897.88</v>
      </c>
      <c r="I13" s="19">
        <f>'Data Sheet'!I65</f>
        <v>27561.37</v>
      </c>
      <c r="J13" s="19">
        <f>'Data Sheet'!J65</f>
        <v>29958.95</v>
      </c>
      <c r="K13" s="19">
        <f>'Data Sheet'!K65</f>
        <v>30237.119999999999</v>
      </c>
    </row>
    <row r="14" spans="1:11" s="8" customFormat="1">
      <c r="A14" s="8" t="s">
        <v>26</v>
      </c>
      <c r="B14" s="19">
        <f>'Data Sheet'!B66</f>
        <v>51651.34</v>
      </c>
      <c r="C14" s="19">
        <f>'Data Sheet'!C66</f>
        <v>55898.32</v>
      </c>
      <c r="D14" s="19">
        <f>'Data Sheet'!D66</f>
        <v>64240.88</v>
      </c>
      <c r="E14" s="19">
        <f>'Data Sheet'!E66</f>
        <v>71739.039999999994</v>
      </c>
      <c r="F14" s="19">
        <f>'Data Sheet'!F66</f>
        <v>77310.75</v>
      </c>
      <c r="G14" s="19">
        <f>'Data Sheet'!G66</f>
        <v>73760.759999999995</v>
      </c>
      <c r="H14" s="19">
        <f>'Data Sheet'!H66</f>
        <v>77196.02</v>
      </c>
      <c r="I14" s="19">
        <f>'Data Sheet'!I66</f>
        <v>85830.96</v>
      </c>
      <c r="J14" s="19">
        <f>'Data Sheet'!J66</f>
        <v>91753.97</v>
      </c>
      <c r="K14" s="19">
        <f>'Data Sheet'!K66</f>
        <v>88002.7</v>
      </c>
    </row>
    <row r="15" spans="1:11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>
      <c r="A16" s="29" t="s">
        <v>30</v>
      </c>
      <c r="B16" s="21">
        <f>B13-B7</f>
        <v>13349.36</v>
      </c>
      <c r="C16" s="21">
        <f t="shared" ref="C16:K16" si="0">C13-C7</f>
        <v>9253.9</v>
      </c>
      <c r="D16" s="21">
        <f t="shared" si="0"/>
        <v>8460.8799999999992</v>
      </c>
      <c r="E16" s="21">
        <f t="shared" si="0"/>
        <v>10600.21</v>
      </c>
      <c r="F16" s="21">
        <f t="shared" si="0"/>
        <v>11917.559999999998</v>
      </c>
      <c r="G16" s="21">
        <f t="shared" si="0"/>
        <v>8437.5299999999988</v>
      </c>
      <c r="H16" s="21">
        <f t="shared" si="0"/>
        <v>10406.870000000001</v>
      </c>
      <c r="I16" s="21">
        <f t="shared" si="0"/>
        <v>11191.71</v>
      </c>
      <c r="J16" s="21">
        <f t="shared" si="0"/>
        <v>13015.41</v>
      </c>
      <c r="K16" s="21">
        <f t="shared" si="0"/>
        <v>12549.009999999998</v>
      </c>
    </row>
    <row r="17" spans="1:11">
      <c r="A17" s="11" t="s">
        <v>44</v>
      </c>
      <c r="B17" s="21">
        <f>'Data Sheet'!B67</f>
        <v>1917.18</v>
      </c>
      <c r="C17" s="21">
        <f>'Data Sheet'!C67</f>
        <v>2474.29</v>
      </c>
      <c r="D17" s="21">
        <f>'Data Sheet'!D67</f>
        <v>2682.29</v>
      </c>
      <c r="E17" s="21">
        <f>'Data Sheet'!E67</f>
        <v>4035.28</v>
      </c>
      <c r="F17" s="21">
        <f>'Data Sheet'!F67</f>
        <v>2562.48</v>
      </c>
      <c r="G17" s="21">
        <f>'Data Sheet'!G67</f>
        <v>2501.6999999999998</v>
      </c>
      <c r="H17" s="21">
        <f>'Data Sheet'!H67</f>
        <v>2461.9</v>
      </c>
      <c r="I17" s="21">
        <f>'Data Sheet'!I67</f>
        <v>2956.17</v>
      </c>
      <c r="J17" s="21">
        <f>'Data Sheet'!J67</f>
        <v>4025.82</v>
      </c>
      <c r="K17" s="21">
        <f>'Data Sheet'!K67</f>
        <v>4719.67</v>
      </c>
    </row>
    <row r="18" spans="1:11">
      <c r="A18" s="11" t="s">
        <v>45</v>
      </c>
      <c r="B18" s="21">
        <f>'Data Sheet'!B68</f>
        <v>9062.1</v>
      </c>
      <c r="C18" s="21">
        <f>'Data Sheet'!C68</f>
        <v>8116.1</v>
      </c>
      <c r="D18" s="21">
        <f>'Data Sheet'!D68</f>
        <v>7495.09</v>
      </c>
      <c r="E18" s="21">
        <f>'Data Sheet'!E68</f>
        <v>7859.56</v>
      </c>
      <c r="F18" s="21">
        <f>'Data Sheet'!F68</f>
        <v>8879.33</v>
      </c>
      <c r="G18" s="21">
        <f>'Data Sheet'!G68</f>
        <v>10397.16</v>
      </c>
      <c r="H18" s="21">
        <f>'Data Sheet'!H68</f>
        <v>10864.15</v>
      </c>
      <c r="I18" s="21">
        <f>'Data Sheet'!I68</f>
        <v>11771.16</v>
      </c>
      <c r="J18" s="21">
        <f>'Data Sheet'!J68</f>
        <v>14152.88</v>
      </c>
      <c r="K18" s="21">
        <f>'Data Sheet'!K68</f>
        <v>15637.56</v>
      </c>
    </row>
    <row r="20" spans="1:11">
      <c r="A20" s="11" t="s">
        <v>46</v>
      </c>
      <c r="B20" s="5">
        <f>IF('Profit &amp; Loss'!B4&gt;0,'Balance Sheet'!B17/('Profit &amp; Loss'!B4/365),0)</f>
        <v>17.854891674597688</v>
      </c>
      <c r="C20" s="5">
        <f>IF('Profit &amp; Loss'!C4&gt;0,'Balance Sheet'!C17/('Profit &amp; Loss'!C4/365),0)</f>
        <v>21.116823249375695</v>
      </c>
      <c r="D20" s="5">
        <f>IF('Profit &amp; Loss'!D4&gt;0,'Balance Sheet'!D17/('Profit &amp; Loss'!D4/365),0)</f>
        <v>22.533020368275956</v>
      </c>
      <c r="E20" s="5">
        <f>IF('Profit &amp; Loss'!E4&gt;0,'Balance Sheet'!E17/('Profit &amp; Loss'!E4/365),0)</f>
        <v>30.469383474163411</v>
      </c>
      <c r="F20" s="5">
        <f>IF('Profit &amp; Loss'!F4&gt;0,'Balance Sheet'!F17/('Profit &amp; Loss'!F4/365),0)</f>
        <v>18.938018980434403</v>
      </c>
      <c r="G20" s="5">
        <f>IF('Profit &amp; Loss'!G4&gt;0,'Balance Sheet'!G17/('Profit &amp; Loss'!G4/365),0)</f>
        <v>18.537713584442557</v>
      </c>
      <c r="H20" s="5">
        <f>IF('Profit &amp; Loss'!H4&gt;0,'Balance Sheet'!H17/('Profit &amp; Loss'!H4/365),0)</f>
        <v>14.817385044061677</v>
      </c>
      <c r="I20" s="5">
        <f>IF('Profit &amp; Loss'!I4&gt;0,'Balance Sheet'!I17/('Profit &amp; Loss'!I4/365),0)</f>
        <v>15.214563002342249</v>
      </c>
      <c r="J20" s="5">
        <f>IF('Profit &amp; Loss'!J4&gt;0,'Balance Sheet'!J17/('Profit &amp; Loss'!J4/365),0)</f>
        <v>21.630830799179297</v>
      </c>
      <c r="K20" s="5">
        <f>IF('Profit &amp; Loss'!K4&gt;0,'Balance Sheet'!K17/('Profit &amp; Loss'!K4/365),0)</f>
        <v>22.870461532906003</v>
      </c>
    </row>
    <row r="21" spans="1:11">
      <c r="A21" s="11" t="s">
        <v>47</v>
      </c>
      <c r="B21" s="5">
        <f>IF('Balance Sheet'!B18&gt;0,'Profit &amp; Loss'!B4/'Balance Sheet'!B18,0)</f>
        <v>4.3248364065724276</v>
      </c>
      <c r="C21" s="5">
        <f>IF('Balance Sheet'!C18&gt;0,'Profit &amp; Loss'!C4/'Balance Sheet'!C18,0)</f>
        <v>5.2694767191138601</v>
      </c>
      <c r="D21" s="5">
        <f>IF('Balance Sheet'!D18&gt;0,'Profit &amp; Loss'!D4/'Balance Sheet'!D18,0)</f>
        <v>5.7969870942176813</v>
      </c>
      <c r="E21" s="5">
        <f>IF('Balance Sheet'!E18&gt;0,'Profit &amp; Loss'!E4/'Balance Sheet'!E18,0)</f>
        <v>6.1504180895622653</v>
      </c>
      <c r="F21" s="5">
        <f>IF('Balance Sheet'!F18&gt;0,'Profit &amp; Loss'!F4/'Balance Sheet'!F18,0)</f>
        <v>5.5620975906965953</v>
      </c>
      <c r="G21" s="5">
        <f>IF('Balance Sheet'!G18&gt;0,'Profit &amp; Loss'!G4/'Balance Sheet'!G18,0)</f>
        <v>4.7375869949101483</v>
      </c>
      <c r="H21" s="5">
        <f>IF('Balance Sheet'!H18&gt;0,'Profit &amp; Loss'!H4/'Balance Sheet'!H18,0)</f>
        <v>5.5820786715941884</v>
      </c>
      <c r="I21" s="5">
        <f>IF('Balance Sheet'!I18&gt;0,'Profit &amp; Loss'!I4/'Balance Sheet'!I18,0)</f>
        <v>6.0248123379514</v>
      </c>
      <c r="J21" s="5">
        <f>IF('Balance Sheet'!J18&gt;0,'Profit &amp; Loss'!J4/'Balance Sheet'!J18,0)</f>
        <v>4.7998668822176125</v>
      </c>
      <c r="K21" s="5">
        <f>IF('Balance Sheet'!K18&gt;0,'Profit &amp; Loss'!K4/'Balance Sheet'!K18,0)</f>
        <v>4.8168218059594974</v>
      </c>
    </row>
    <row r="23" spans="1:11" s="8" customFormat="1">
      <c r="A23" s="8" t="s">
        <v>59</v>
      </c>
      <c r="B23" s="14">
        <f>IF(SUM('Balance Sheet'!B4:B5)&gt;0,'Profit &amp; Loss'!B12/SUM('Balance Sheet'!B4:B5),"")</f>
        <v>0.21894458981731754</v>
      </c>
      <c r="C23" s="14">
        <f>IF(SUM('Balance Sheet'!C4:C5)&gt;0,'Profit &amp; Loss'!C12/SUM('Balance Sheet'!C4:C5),"")</f>
        <v>0.2216933944915781</v>
      </c>
      <c r="D23" s="14">
        <f>IF(SUM('Balance Sheet'!D4:D5)&gt;0,'Profit &amp; Loss'!D12/SUM('Balance Sheet'!D4:D5),"")</f>
        <v>0.21464818870118538</v>
      </c>
      <c r="E23" s="14">
        <f>IF(SUM('Balance Sheet'!E4:E5)&gt;0,'Profit &amp; Loss'!E12/SUM('Balance Sheet'!E4:E5),"")</f>
        <v>0.21292094620860327</v>
      </c>
      <c r="F23" s="14">
        <f>IF(SUM('Balance Sheet'!F4:F5)&gt;0,'Profit &amp; Loss'!F12/SUM('Balance Sheet'!F4:F5),"")</f>
        <v>0.23449464604648212</v>
      </c>
      <c r="G23" s="14">
        <f>IF(SUM('Balance Sheet'!G4:G5)&gt;0,'Profit &amp; Loss'!G12/SUM('Balance Sheet'!G4:G5),"")</f>
        <v>0.21809063995198466</v>
      </c>
      <c r="H23" s="14">
        <f>IF(SUM('Balance Sheet'!H4:H5)&gt;0,'Profit &amp; Loss'!H12/SUM('Balance Sheet'!H4:H5),"")</f>
        <v>0.24405605456807136</v>
      </c>
      <c r="I23" s="14">
        <f>IF(SUM('Balance Sheet'!I4:I5)&gt;0,'Profit &amp; Loss'!I12/SUM('Balance Sheet'!I4:I5),"")</f>
        <v>0.2775155497933201</v>
      </c>
      <c r="J23" s="14">
        <f>IF(SUM('Balance Sheet'!J4:J5)&gt;0,'Profit &amp; Loss'!J12/SUM('Balance Sheet'!J4:J5),"")</f>
        <v>0.27458869636409999</v>
      </c>
      <c r="K23" s="14">
        <f>IF(SUM('Balance Sheet'!K4:K5)&gt;0,'Profit &amp; Loss'!K12/SUM('Balance Sheet'!K4:K5),"")</f>
        <v>0.49616743098141436</v>
      </c>
    </row>
    <row r="24" spans="1:11" s="8" customFormat="1">
      <c r="A24" s="8" t="s">
        <v>60</v>
      </c>
      <c r="B24" s="14"/>
      <c r="C24" s="14">
        <f>IF((B4+B5+B6+C4+C5+C6)&gt;0,('Profit &amp; Loss'!C10+'Profit &amp; Loss'!C9)*2/(B4+B5+B6+C4+C5+C6),"")</f>
        <v>0.36034518411668875</v>
      </c>
      <c r="D24" s="14">
        <f>IF((C4+C5+C6+D4+D5+D6)&gt;0,('Profit &amp; Loss'!D10+'Profit &amp; Loss'!D9)*2/(C4+C5+C6+D4+D5+D6),"")</f>
        <v>0.35400589143866729</v>
      </c>
      <c r="E24" s="14">
        <f>IF((D4+D5+D6+E4+E5+E6)&gt;0,('Profit &amp; Loss'!E10+'Profit &amp; Loss'!E9)*2/(D4+D5+D6+E4+E5+E6),"")</f>
        <v>0.34415687544012852</v>
      </c>
      <c r="F24" s="14">
        <f>IF((E4+E5+E6+F4+F5+F6)&gt;0,('Profit &amp; Loss'!F10+'Profit &amp; Loss'!F9)*2/(E4+E5+E6+F4+F5+F6),"")</f>
        <v>0.32261652337652486</v>
      </c>
      <c r="G24" s="14">
        <f>IF((F4+F5+F6+G4+G5+G6)&gt;0,('Profit &amp; Loss'!G10+'Profit &amp; Loss'!G9)*2/(F4+F5+F6+G4+G5+G6),"")</f>
        <v>0.28527066262298589</v>
      </c>
      <c r="H24" s="14">
        <f>IF((G4+G5+G6+H4+H5+H6)&gt;0,('Profit &amp; Loss'!H10+'Profit &amp; Loss'!H9)*2/(G4+G5+G6+H4+H5+H6),"")</f>
        <v>0.33733252742915004</v>
      </c>
      <c r="I24" s="14">
        <f>IF((H4+H5+H6+I4+I5+I6)&gt;0,('Profit &amp; Loss'!I10+'Profit &amp; Loss'!I9)*2/(H4+H5+H6+I4+I5+I6),"")</f>
        <v>0.39333609298769096</v>
      </c>
      <c r="J24" s="14">
        <f>IF((I4+I5+I6+J4+J5+J6)&gt;0,('Profit &amp; Loss'!J10+'Profit &amp; Loss'!J9)*2/(I4+I5+I6+J4+J5+J6),"")</f>
        <v>0.3742927321936183</v>
      </c>
      <c r="K24" s="14">
        <f>IF((J4+J5+J6+K4+K5+K6)&gt;0,('Profit &amp; Loss'!K10+'Profit &amp; Loss'!K9)*2/(J4+J5+J6+K4+K5+K6),"")</f>
        <v>0.57864605289976878</v>
      </c>
    </row>
    <row r="25" spans="1:11" s="18" customFormat="1"/>
    <row r="26" spans="1:11">
      <c r="A26" s="18" t="s">
        <v>123</v>
      </c>
      <c r="E26" s="50">
        <f t="shared" ref="E26:J26" si="1">E4+E5</f>
        <v>59140.87</v>
      </c>
      <c r="F26" s="50">
        <f t="shared" si="1"/>
        <v>65273.26</v>
      </c>
      <c r="G26" s="50">
        <f t="shared" si="1"/>
        <v>60347.34</v>
      </c>
      <c r="H26" s="50">
        <f t="shared" si="1"/>
        <v>62455.57</v>
      </c>
      <c r="I26" s="50">
        <f t="shared" si="1"/>
        <v>69155.260000000009</v>
      </c>
      <c r="J26" s="50">
        <f t="shared" si="1"/>
        <v>74507</v>
      </c>
    </row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>
      <c r="A1" s="8" t="str">
        <f>'Balance Sheet'!A1</f>
        <v>ITC LTD</v>
      </c>
      <c r="E1" t="str">
        <f>UPDATE</f>
        <v/>
      </c>
      <c r="F1"/>
      <c r="J1" s="4" t="s">
        <v>1</v>
      </c>
      <c r="K1" s="4"/>
    </row>
    <row r="3" spans="1:11" s="2" customFormat="1">
      <c r="A3" s="15" t="s">
        <v>2</v>
      </c>
      <c r="B3" s="16">
        <f>'Data Sheet'!B81</f>
        <v>42460</v>
      </c>
      <c r="C3" s="16">
        <f>'Data Sheet'!C81</f>
        <v>42825</v>
      </c>
      <c r="D3" s="16">
        <f>'Data Sheet'!D81</f>
        <v>43190</v>
      </c>
      <c r="E3" s="16">
        <f>'Data Sheet'!E81</f>
        <v>43555</v>
      </c>
      <c r="F3" s="16">
        <f>'Data Sheet'!F81</f>
        <v>43921</v>
      </c>
      <c r="G3" s="16">
        <f>'Data Sheet'!G81</f>
        <v>44286</v>
      </c>
      <c r="H3" s="16">
        <f>'Data Sheet'!H81</f>
        <v>44651</v>
      </c>
      <c r="I3" s="16">
        <f>'Data Sheet'!I81</f>
        <v>45016</v>
      </c>
      <c r="J3" s="16">
        <f>'Data Sheet'!J81</f>
        <v>45382</v>
      </c>
      <c r="K3" s="16">
        <f>'Data Sheet'!K81</f>
        <v>45747</v>
      </c>
    </row>
    <row r="4" spans="1:11" s="8" customFormat="1">
      <c r="A4" s="8" t="s">
        <v>32</v>
      </c>
      <c r="B4" s="1">
        <f>'Data Sheet'!B82</f>
        <v>9799.0400000000009</v>
      </c>
      <c r="C4" s="1">
        <f>'Data Sheet'!C82</f>
        <v>10627.31</v>
      </c>
      <c r="D4" s="1">
        <f>'Data Sheet'!D82</f>
        <v>13169.4</v>
      </c>
      <c r="E4" s="1">
        <f>'Data Sheet'!E82</f>
        <v>12583.41</v>
      </c>
      <c r="F4" s="1">
        <f>'Data Sheet'!F82</f>
        <v>14689.66</v>
      </c>
      <c r="G4" s="1">
        <f>'Data Sheet'!G82</f>
        <v>12526.97</v>
      </c>
      <c r="H4" s="1">
        <f>'Data Sheet'!H82</f>
        <v>15775.51</v>
      </c>
      <c r="I4" s="1">
        <f>'Data Sheet'!I82</f>
        <v>18877.55</v>
      </c>
      <c r="J4" s="1">
        <f>'Data Sheet'!J82</f>
        <v>17178.86</v>
      </c>
      <c r="K4" s="1">
        <f>'Data Sheet'!K82</f>
        <v>17627.04</v>
      </c>
    </row>
    <row r="5" spans="1:11">
      <c r="A5" s="6" t="s">
        <v>33</v>
      </c>
      <c r="B5" s="9">
        <f>'Data Sheet'!B83</f>
        <v>-3920.73</v>
      </c>
      <c r="C5" s="9">
        <f>'Data Sheet'!C83</f>
        <v>-3250.93</v>
      </c>
      <c r="D5" s="9">
        <f>'Data Sheet'!D83</f>
        <v>-7113.89</v>
      </c>
      <c r="E5" s="9">
        <f>'Data Sheet'!E83</f>
        <v>-5545.68</v>
      </c>
      <c r="F5" s="9">
        <f>'Data Sheet'!F83</f>
        <v>-6174.02</v>
      </c>
      <c r="G5" s="9">
        <f>'Data Sheet'!G83</f>
        <v>5739.98</v>
      </c>
      <c r="H5" s="9">
        <f>'Data Sheet'!H83</f>
        <v>-2238.4899999999998</v>
      </c>
      <c r="I5" s="9">
        <f>'Data Sheet'!I83</f>
        <v>-5732.29</v>
      </c>
      <c r="J5" s="9">
        <f>'Data Sheet'!J83</f>
        <v>1562.77</v>
      </c>
      <c r="K5" s="9">
        <f>'Data Sheet'!K83</f>
        <v>-563.84</v>
      </c>
    </row>
    <row r="6" spans="1:11">
      <c r="A6" s="6" t="s">
        <v>34</v>
      </c>
      <c r="B6" s="9">
        <f>'Data Sheet'!B84</f>
        <v>-5612.52</v>
      </c>
      <c r="C6" s="9">
        <f>'Data Sheet'!C84</f>
        <v>-7301.03</v>
      </c>
      <c r="D6" s="9">
        <f>'Data Sheet'!D84</f>
        <v>-6221.13</v>
      </c>
      <c r="E6" s="9">
        <f>'Data Sheet'!E84</f>
        <v>-6868.64</v>
      </c>
      <c r="F6" s="9">
        <f>'Data Sheet'!F84</f>
        <v>-8181.48</v>
      </c>
      <c r="G6" s="9">
        <f>'Data Sheet'!G84</f>
        <v>-18633.830000000002</v>
      </c>
      <c r="H6" s="9">
        <f>'Data Sheet'!H84</f>
        <v>-13580.5</v>
      </c>
      <c r="I6" s="9">
        <f>'Data Sheet'!I84</f>
        <v>-13006.03</v>
      </c>
      <c r="J6" s="9">
        <f>'Data Sheet'!J84</f>
        <v>-18550.96</v>
      </c>
      <c r="K6" s="9">
        <f>'Data Sheet'!K84</f>
        <v>-17037.400000000001</v>
      </c>
    </row>
    <row r="7" spans="1:11" s="8" customFormat="1">
      <c r="A7" s="8" t="s">
        <v>35</v>
      </c>
      <c r="B7" s="1">
        <f>'Data Sheet'!B85</f>
        <v>265.79000000000002</v>
      </c>
      <c r="C7" s="1">
        <f>'Data Sheet'!C85</f>
        <v>75.349999999999994</v>
      </c>
      <c r="D7" s="1">
        <f>'Data Sheet'!D85</f>
        <v>-165.62</v>
      </c>
      <c r="E7" s="1">
        <f>'Data Sheet'!E85</f>
        <v>169.09</v>
      </c>
      <c r="F7" s="1">
        <f>'Data Sheet'!F85</f>
        <v>334.16</v>
      </c>
      <c r="G7" s="1">
        <f>'Data Sheet'!G85</f>
        <v>-366.88</v>
      </c>
      <c r="H7" s="1">
        <f>'Data Sheet'!H85</f>
        <v>-43.48</v>
      </c>
      <c r="I7" s="1">
        <f>'Data Sheet'!I85</f>
        <v>139.22999999999999</v>
      </c>
      <c r="J7" s="1">
        <f>'Data Sheet'!J85</f>
        <v>190.67</v>
      </c>
      <c r="K7" s="1">
        <f>'Data Sheet'!K85</f>
        <v>25.8</v>
      </c>
    </row>
    <row r="8" spans="1:11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/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>
      <c r="A1" s="25" t="s">
        <v>56</v>
      </c>
    </row>
    <row r="3" spans="1:7">
      <c r="A3" s="8" t="s">
        <v>48</v>
      </c>
    </row>
    <row r="4" spans="1:7">
      <c r="B4" s="11" t="s">
        <v>90</v>
      </c>
    </row>
    <row r="5" spans="1:7">
      <c r="B5" s="11" t="s">
        <v>49</v>
      </c>
    </row>
    <row r="7" spans="1:7">
      <c r="A7" s="8" t="s">
        <v>50</v>
      </c>
    </row>
    <row r="8" spans="1:7">
      <c r="B8" s="11" t="s">
        <v>51</v>
      </c>
      <c r="C8" s="27" t="s">
        <v>91</v>
      </c>
    </row>
    <row r="10" spans="1:7">
      <c r="A10" s="8" t="s">
        <v>52</v>
      </c>
    </row>
    <row r="11" spans="1:7">
      <c r="B11" s="11" t="s">
        <v>53</v>
      </c>
    </row>
    <row r="14" spans="1:7">
      <c r="A14" s="8" t="s">
        <v>54</v>
      </c>
    </row>
    <row r="15" spans="1:7">
      <c r="B15" s="11" t="s">
        <v>55</v>
      </c>
    </row>
    <row r="16" spans="1:7">
      <c r="B16" s="11" t="s">
        <v>92</v>
      </c>
      <c r="G16" s="28"/>
    </row>
  </sheetData>
  <hyperlinks>
    <hyperlink ref="C8" r:id="rId1" display=" http://www.screener.in/excel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77734375" defaultRowHeight="14.4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>
      <c r="A1" s="1" t="s">
        <v>0</v>
      </c>
      <c r="B1" s="1" t="s">
        <v>63</v>
      </c>
      <c r="E1" s="77" t="str">
        <f>IF(B2&lt;&gt;B3, "A NEW VERSION OF THE WORKSHEET IS AVAILABLE", "")</f>
        <v/>
      </c>
      <c r="F1" s="77"/>
      <c r="G1" s="77"/>
      <c r="H1" s="77"/>
      <c r="I1" s="77"/>
      <c r="J1" s="77"/>
      <c r="K1" s="77"/>
    </row>
    <row r="2" spans="1:11">
      <c r="A2" s="1" t="s">
        <v>61</v>
      </c>
      <c r="B2" s="5">
        <v>2.1</v>
      </c>
      <c r="E2" s="78" t="s">
        <v>36</v>
      </c>
      <c r="F2" s="78"/>
      <c r="G2" s="78"/>
      <c r="H2" s="78"/>
      <c r="I2" s="78"/>
      <c r="J2" s="78"/>
      <c r="K2" s="78"/>
    </row>
    <row r="3" spans="1:11">
      <c r="A3" s="1" t="s">
        <v>62</v>
      </c>
      <c r="B3" s="5">
        <v>2.1</v>
      </c>
    </row>
    <row r="4" spans="1:11">
      <c r="A4" s="1"/>
    </row>
    <row r="5" spans="1:11">
      <c r="A5" s="1" t="s">
        <v>64</v>
      </c>
    </row>
    <row r="6" spans="1:11">
      <c r="A6" s="5" t="s">
        <v>42</v>
      </c>
      <c r="B6" s="5">
        <f>IF(B9&gt;0, B9/B8, 0)</f>
        <v>1252.8958412931668</v>
      </c>
    </row>
    <row r="7" spans="1:11">
      <c r="A7" s="5" t="s">
        <v>31</v>
      </c>
      <c r="B7">
        <v>1</v>
      </c>
    </row>
    <row r="8" spans="1:11">
      <c r="A8" s="5" t="s">
        <v>43</v>
      </c>
      <c r="B8">
        <v>340.25</v>
      </c>
    </row>
    <row r="9" spans="1:11">
      <c r="A9" s="5" t="s">
        <v>79</v>
      </c>
      <c r="B9">
        <v>426297.81</v>
      </c>
    </row>
    <row r="15" spans="1:11">
      <c r="A15" s="1" t="s">
        <v>37</v>
      </c>
    </row>
    <row r="16" spans="1:11" s="24" customFormat="1">
      <c r="A16" s="23" t="s">
        <v>38</v>
      </c>
      <c r="B16" s="16">
        <v>42460</v>
      </c>
      <c r="C16" s="16">
        <v>42825</v>
      </c>
      <c r="D16" s="16">
        <v>43190</v>
      </c>
      <c r="E16" s="16">
        <v>43555</v>
      </c>
      <c r="F16" s="16">
        <v>43921</v>
      </c>
      <c r="G16" s="16">
        <v>44286</v>
      </c>
      <c r="H16" s="16">
        <v>44651</v>
      </c>
      <c r="I16" s="16">
        <v>45016</v>
      </c>
      <c r="J16" s="16">
        <v>45382</v>
      </c>
      <c r="K16" s="16">
        <v>45747</v>
      </c>
    </row>
    <row r="17" spans="1:11" s="9" customFormat="1">
      <c r="A17" s="9" t="s">
        <v>6</v>
      </c>
      <c r="B17">
        <v>39192.1</v>
      </c>
      <c r="C17">
        <v>42767.6</v>
      </c>
      <c r="D17">
        <v>43448.94</v>
      </c>
      <c r="E17">
        <v>48339.58</v>
      </c>
      <c r="F17">
        <v>49387.7</v>
      </c>
      <c r="G17">
        <v>49257.45</v>
      </c>
      <c r="H17">
        <v>60644.54</v>
      </c>
      <c r="I17">
        <v>70919.03</v>
      </c>
      <c r="J17">
        <v>67931.94</v>
      </c>
      <c r="K17">
        <v>75323.34</v>
      </c>
    </row>
    <row r="18" spans="1:11" s="9" customFormat="1">
      <c r="A18" s="5" t="s">
        <v>80</v>
      </c>
      <c r="B18">
        <v>13763.88</v>
      </c>
      <c r="C18">
        <v>15456.59</v>
      </c>
      <c r="D18">
        <v>14827.72</v>
      </c>
      <c r="E18">
        <v>17623.52</v>
      </c>
      <c r="F18">
        <v>18048.599999999999</v>
      </c>
      <c r="G18">
        <v>20776.71</v>
      </c>
      <c r="H18">
        <v>27071.07</v>
      </c>
      <c r="I18">
        <v>29364.36</v>
      </c>
      <c r="J18">
        <v>27348.57</v>
      </c>
      <c r="K18">
        <v>32704.37</v>
      </c>
    </row>
    <row r="19" spans="1:11" s="9" customFormat="1">
      <c r="A19" s="5" t="s">
        <v>81</v>
      </c>
      <c r="B19">
        <v>195.38</v>
      </c>
      <c r="C19">
        <v>-592.57000000000005</v>
      </c>
      <c r="D19">
        <v>-1027.76</v>
      </c>
      <c r="E19">
        <v>203.19</v>
      </c>
      <c r="F19">
        <v>703.13</v>
      </c>
      <c r="G19">
        <v>645.27</v>
      </c>
      <c r="H19">
        <v>686</v>
      </c>
      <c r="I19">
        <v>358.59</v>
      </c>
      <c r="J19">
        <v>367.77</v>
      </c>
      <c r="K19">
        <v>725.65</v>
      </c>
    </row>
    <row r="20" spans="1:11" s="9" customFormat="1">
      <c r="A20" s="5" t="s">
        <v>82</v>
      </c>
      <c r="B20">
        <v>571.88</v>
      </c>
      <c r="C20">
        <v>584.33000000000004</v>
      </c>
      <c r="D20">
        <v>653.5</v>
      </c>
      <c r="E20">
        <v>746.73</v>
      </c>
      <c r="F20">
        <v>780.85</v>
      </c>
      <c r="G20">
        <v>699.56</v>
      </c>
      <c r="H20">
        <v>889.77</v>
      </c>
      <c r="I20">
        <v>1232.3399999999999</v>
      </c>
      <c r="J20">
        <v>952.9</v>
      </c>
      <c r="K20">
        <v>975.35</v>
      </c>
    </row>
    <row r="21" spans="1:11" s="9" customFormat="1">
      <c r="A21" s="5" t="s">
        <v>83</v>
      </c>
      <c r="B21">
        <v>1581.59</v>
      </c>
      <c r="C21">
        <v>1683.9</v>
      </c>
      <c r="D21">
        <v>1697.62</v>
      </c>
      <c r="E21">
        <v>1871.01</v>
      </c>
      <c r="F21">
        <v>1908.29</v>
      </c>
      <c r="G21">
        <v>1587.18</v>
      </c>
      <c r="H21">
        <v>1887.67</v>
      </c>
      <c r="I21">
        <v>2327.8000000000002</v>
      </c>
      <c r="J21">
        <v>2183.7600000000002</v>
      </c>
      <c r="K21">
        <v>2345.36</v>
      </c>
    </row>
    <row r="22" spans="1:11" s="9" customFormat="1">
      <c r="A22" s="5" t="s">
        <v>84</v>
      </c>
      <c r="B22">
        <v>3440.97</v>
      </c>
      <c r="C22">
        <v>3631.73</v>
      </c>
      <c r="D22">
        <v>3760.9</v>
      </c>
      <c r="E22">
        <v>4177.88</v>
      </c>
      <c r="F22">
        <v>4295.79</v>
      </c>
      <c r="G22">
        <v>4463.33</v>
      </c>
      <c r="H22">
        <v>4890.55</v>
      </c>
      <c r="I22">
        <v>5736.22</v>
      </c>
      <c r="J22">
        <v>5548.53</v>
      </c>
      <c r="K22">
        <v>6169.78</v>
      </c>
    </row>
    <row r="23" spans="1:11" s="9" customFormat="1">
      <c r="A23" s="5" t="s">
        <v>85</v>
      </c>
      <c r="B23">
        <v>4261.78</v>
      </c>
      <c r="C23">
        <v>4179.74</v>
      </c>
      <c r="D23">
        <v>3954.87</v>
      </c>
      <c r="E23">
        <v>4546.3900000000003</v>
      </c>
      <c r="F23">
        <v>4488.63</v>
      </c>
      <c r="G23">
        <v>4236.7700000000004</v>
      </c>
      <c r="H23">
        <v>4858.38</v>
      </c>
      <c r="I23">
        <v>5604.08</v>
      </c>
      <c r="J23">
        <v>5312.45</v>
      </c>
      <c r="K23">
        <v>5793.29</v>
      </c>
    </row>
    <row r="24" spans="1:11" s="9" customFormat="1">
      <c r="A24" s="5" t="s">
        <v>86</v>
      </c>
      <c r="B24">
        <v>1235.8900000000001</v>
      </c>
      <c r="C24">
        <v>1169.23</v>
      </c>
      <c r="D24">
        <v>1005.98</v>
      </c>
      <c r="E24">
        <v>1039.8499999999999</v>
      </c>
      <c r="F24">
        <v>1225.1300000000001</v>
      </c>
      <c r="G24">
        <v>1074.3900000000001</v>
      </c>
      <c r="H24">
        <v>1109.95</v>
      </c>
      <c r="I24">
        <v>1308.56</v>
      </c>
      <c r="J24">
        <v>1765.97</v>
      </c>
      <c r="K24">
        <v>2221.39</v>
      </c>
    </row>
    <row r="25" spans="1:11" s="9" customFormat="1">
      <c r="A25" s="9" t="s">
        <v>9</v>
      </c>
      <c r="B25">
        <v>1483.11</v>
      </c>
      <c r="C25">
        <v>1758.63</v>
      </c>
      <c r="D25">
        <v>2239.81</v>
      </c>
      <c r="E25">
        <v>2080.44</v>
      </c>
      <c r="F25">
        <v>2417.3200000000002</v>
      </c>
      <c r="G25">
        <v>2576.9499999999998</v>
      </c>
      <c r="H25">
        <v>1909.72</v>
      </c>
      <c r="I25">
        <v>2097.64</v>
      </c>
      <c r="J25">
        <v>3330.45</v>
      </c>
      <c r="K25">
        <v>17794.88</v>
      </c>
    </row>
    <row r="26" spans="1:11" s="9" customFormat="1">
      <c r="A26" s="9" t="s">
        <v>10</v>
      </c>
      <c r="B26">
        <v>1077.4000000000001</v>
      </c>
      <c r="C26">
        <v>1152.79</v>
      </c>
      <c r="D26">
        <v>1236.28</v>
      </c>
      <c r="E26">
        <v>1396.61</v>
      </c>
      <c r="F26">
        <v>1644.91</v>
      </c>
      <c r="G26">
        <v>1645.59</v>
      </c>
      <c r="H26">
        <v>1732.41</v>
      </c>
      <c r="I26">
        <v>1809.01</v>
      </c>
      <c r="J26">
        <v>1518.05</v>
      </c>
      <c r="K26">
        <v>1646.32</v>
      </c>
    </row>
    <row r="27" spans="1:11" s="9" customFormat="1">
      <c r="A27" s="9" t="s">
        <v>11</v>
      </c>
      <c r="B27">
        <v>78.13</v>
      </c>
      <c r="C27">
        <v>49.03</v>
      </c>
      <c r="D27">
        <v>115.01</v>
      </c>
      <c r="E27">
        <v>71.400000000000006</v>
      </c>
      <c r="F27">
        <v>81.38</v>
      </c>
      <c r="G27">
        <v>57.97</v>
      </c>
      <c r="H27">
        <v>59.99</v>
      </c>
      <c r="I27">
        <v>77.77</v>
      </c>
      <c r="J27">
        <v>39.11</v>
      </c>
      <c r="K27">
        <v>45.06</v>
      </c>
    </row>
    <row r="28" spans="1:11" s="9" customFormat="1">
      <c r="A28" s="9" t="s">
        <v>12</v>
      </c>
      <c r="B28">
        <v>14859.07</v>
      </c>
      <c r="C28">
        <v>16026.32</v>
      </c>
      <c r="D28">
        <v>17409.11</v>
      </c>
      <c r="E28">
        <v>19149.82</v>
      </c>
      <c r="F28">
        <v>20034.57</v>
      </c>
      <c r="G28">
        <v>17938.169999999998</v>
      </c>
      <c r="H28">
        <v>20740.47</v>
      </c>
      <c r="I28">
        <v>25915.119999999999</v>
      </c>
      <c r="J28">
        <v>26960.82</v>
      </c>
      <c r="K28">
        <v>41942.949999999997</v>
      </c>
    </row>
    <row r="29" spans="1:11" s="9" customFormat="1">
      <c r="A29" s="9" t="s">
        <v>13</v>
      </c>
      <c r="B29">
        <v>5358.21</v>
      </c>
      <c r="C29">
        <v>5549.09</v>
      </c>
      <c r="D29">
        <v>5916.43</v>
      </c>
      <c r="E29">
        <v>6313.92</v>
      </c>
      <c r="F29">
        <v>4441.79</v>
      </c>
      <c r="G29">
        <v>4555.29</v>
      </c>
      <c r="H29">
        <v>5237.34</v>
      </c>
      <c r="I29">
        <v>6438.4</v>
      </c>
      <c r="J29">
        <v>6209.46</v>
      </c>
      <c r="K29">
        <v>6890.47</v>
      </c>
    </row>
    <row r="30" spans="1:11" s="9" customFormat="1">
      <c r="A30" s="9" t="s">
        <v>14</v>
      </c>
      <c r="B30">
        <v>9344.4500000000007</v>
      </c>
      <c r="C30">
        <v>10289.44</v>
      </c>
      <c r="D30">
        <v>11271.2</v>
      </c>
      <c r="E30">
        <v>12592.33</v>
      </c>
      <c r="F30">
        <v>15306.23</v>
      </c>
      <c r="G30">
        <v>13161.19</v>
      </c>
      <c r="H30">
        <v>15242.66</v>
      </c>
      <c r="I30">
        <v>19191.66</v>
      </c>
      <c r="J30">
        <v>20458.78</v>
      </c>
      <c r="K30">
        <v>34746.629999999997</v>
      </c>
    </row>
    <row r="31" spans="1:11" s="9" customFormat="1">
      <c r="A31" s="9" t="s">
        <v>70</v>
      </c>
      <c r="B31">
        <v>6840.12</v>
      </c>
      <c r="C31">
        <v>5770.02</v>
      </c>
      <c r="D31">
        <v>6285.21</v>
      </c>
      <c r="E31">
        <v>7048.7</v>
      </c>
      <c r="F31">
        <v>12476.58</v>
      </c>
      <c r="G31">
        <v>13231.96</v>
      </c>
      <c r="H31">
        <v>14171.8</v>
      </c>
      <c r="I31">
        <v>19263.400000000001</v>
      </c>
      <c r="J31">
        <v>17166.46</v>
      </c>
      <c r="K31">
        <v>17957.73</v>
      </c>
    </row>
    <row r="32" spans="1:11" s="9" customFormat="1"/>
    <row r="33" spans="1:11">
      <c r="A33" s="9"/>
    </row>
    <row r="34" spans="1:11">
      <c r="A34" s="9"/>
    </row>
    <row r="35" spans="1:11">
      <c r="A35" s="9"/>
    </row>
    <row r="36" spans="1:11">
      <c r="A36" s="9"/>
    </row>
    <row r="37" spans="1:11">
      <c r="A37" s="9"/>
    </row>
    <row r="38" spans="1:11">
      <c r="A38" s="9"/>
    </row>
    <row r="39" spans="1:11">
      <c r="A39" s="9"/>
    </row>
    <row r="40" spans="1:11">
      <c r="A40" s="1" t="s">
        <v>39</v>
      </c>
    </row>
    <row r="41" spans="1:11" s="24" customFormat="1">
      <c r="A41" s="23" t="s">
        <v>38</v>
      </c>
      <c r="B41" s="16">
        <v>45107</v>
      </c>
      <c r="C41" s="16">
        <v>45199</v>
      </c>
      <c r="D41" s="16">
        <v>45291</v>
      </c>
      <c r="E41" s="16">
        <v>45382</v>
      </c>
      <c r="F41" s="16">
        <v>45473</v>
      </c>
      <c r="G41" s="16">
        <v>45565</v>
      </c>
      <c r="H41" s="16">
        <v>45657</v>
      </c>
      <c r="I41" s="16">
        <v>45747</v>
      </c>
      <c r="J41" s="16">
        <v>45838</v>
      </c>
      <c r="K41" s="16">
        <v>45930</v>
      </c>
    </row>
    <row r="42" spans="1:11" s="9" customFormat="1">
      <c r="A42" s="9" t="s">
        <v>6</v>
      </c>
      <c r="B42">
        <v>17164.46</v>
      </c>
      <c r="C42">
        <v>17774.47</v>
      </c>
      <c r="D42">
        <v>17195.240000000002</v>
      </c>
      <c r="E42">
        <v>17037.8</v>
      </c>
      <c r="F42">
        <v>17777.810000000001</v>
      </c>
      <c r="G42">
        <v>19990.36</v>
      </c>
      <c r="H42">
        <v>18790.169999999998</v>
      </c>
      <c r="I42">
        <v>18765</v>
      </c>
      <c r="J42">
        <v>21494.79</v>
      </c>
      <c r="K42">
        <v>19501.63</v>
      </c>
    </row>
    <row r="43" spans="1:11" s="9" customFormat="1">
      <c r="A43" s="9" t="s">
        <v>7</v>
      </c>
      <c r="B43">
        <v>10494.39</v>
      </c>
      <c r="C43">
        <v>11320.23</v>
      </c>
      <c r="D43">
        <v>10985.01</v>
      </c>
      <c r="E43">
        <v>10735.73</v>
      </c>
      <c r="F43">
        <v>11232.97</v>
      </c>
      <c r="G43">
        <v>13438.28</v>
      </c>
      <c r="H43">
        <v>12428.27</v>
      </c>
      <c r="I43">
        <v>12245.61</v>
      </c>
      <c r="J43">
        <v>14678.32</v>
      </c>
      <c r="K43">
        <v>12806.94</v>
      </c>
    </row>
    <row r="44" spans="1:11" s="9" customFormat="1">
      <c r="A44" s="9" t="s">
        <v>9</v>
      </c>
      <c r="B44">
        <v>722.3</v>
      </c>
      <c r="C44">
        <v>673.5</v>
      </c>
      <c r="D44">
        <v>820.26</v>
      </c>
      <c r="E44">
        <v>868</v>
      </c>
      <c r="F44">
        <v>771.13</v>
      </c>
      <c r="G44">
        <v>690.31</v>
      </c>
      <c r="H44">
        <v>803.4</v>
      </c>
      <c r="I44">
        <v>15391.28</v>
      </c>
      <c r="J44">
        <v>750.97</v>
      </c>
      <c r="K44">
        <v>738.84</v>
      </c>
    </row>
    <row r="45" spans="1:11" s="9" customFormat="1">
      <c r="A45" s="9" t="s">
        <v>10</v>
      </c>
      <c r="B45">
        <v>442.46</v>
      </c>
      <c r="C45">
        <v>453.04</v>
      </c>
      <c r="D45">
        <v>384.04</v>
      </c>
      <c r="E45">
        <v>385.09</v>
      </c>
      <c r="F45">
        <v>403.13</v>
      </c>
      <c r="G45">
        <v>416.18</v>
      </c>
      <c r="H45">
        <v>415.98</v>
      </c>
      <c r="I45">
        <v>411.03</v>
      </c>
      <c r="J45">
        <v>422.96</v>
      </c>
      <c r="K45">
        <v>434.8</v>
      </c>
    </row>
    <row r="46" spans="1:11" s="9" customFormat="1">
      <c r="A46" s="9" t="s">
        <v>11</v>
      </c>
      <c r="B46">
        <v>9.9</v>
      </c>
      <c r="C46">
        <v>9.8699999999999992</v>
      </c>
      <c r="D46">
        <v>11.94</v>
      </c>
      <c r="E46">
        <v>10.72</v>
      </c>
      <c r="F46">
        <v>9.6</v>
      </c>
      <c r="G46">
        <v>14.73</v>
      </c>
      <c r="H46">
        <v>9.82</v>
      </c>
      <c r="I46">
        <v>10.91</v>
      </c>
      <c r="J46">
        <v>16.47</v>
      </c>
      <c r="K46">
        <v>20.05</v>
      </c>
    </row>
    <row r="47" spans="1:11" s="9" customFormat="1">
      <c r="A47" s="9" t="s">
        <v>12</v>
      </c>
      <c r="B47">
        <v>6940.01</v>
      </c>
      <c r="C47">
        <v>6664.83</v>
      </c>
      <c r="D47">
        <v>6634.51</v>
      </c>
      <c r="E47">
        <v>6774.26</v>
      </c>
      <c r="F47">
        <v>6903.24</v>
      </c>
      <c r="G47">
        <v>6811.48</v>
      </c>
      <c r="H47">
        <v>6739.5</v>
      </c>
      <c r="I47">
        <v>21488.73</v>
      </c>
      <c r="J47">
        <v>7128.01</v>
      </c>
      <c r="K47">
        <v>6978.68</v>
      </c>
    </row>
    <row r="48" spans="1:11" s="9" customFormat="1">
      <c r="A48" s="9" t="s">
        <v>13</v>
      </c>
      <c r="B48">
        <v>1759.89</v>
      </c>
      <c r="C48">
        <v>1700.31</v>
      </c>
      <c r="D48">
        <v>1227.99</v>
      </c>
      <c r="E48">
        <v>1583.55</v>
      </c>
      <c r="F48">
        <v>1726.25</v>
      </c>
      <c r="G48">
        <v>1757.05</v>
      </c>
      <c r="H48">
        <v>1726.32</v>
      </c>
      <c r="I48">
        <v>1680.85</v>
      </c>
      <c r="J48">
        <v>1784.6</v>
      </c>
      <c r="K48">
        <v>1792.13</v>
      </c>
    </row>
    <row r="49" spans="1:11" s="9" customFormat="1">
      <c r="A49" s="9" t="s">
        <v>14</v>
      </c>
      <c r="B49">
        <v>5104.93</v>
      </c>
      <c r="C49">
        <v>4898.07</v>
      </c>
      <c r="D49">
        <v>5335.23</v>
      </c>
      <c r="E49">
        <v>5120.55</v>
      </c>
      <c r="F49">
        <v>5091.59</v>
      </c>
      <c r="G49">
        <v>4992.87</v>
      </c>
      <c r="H49">
        <v>4934.8</v>
      </c>
      <c r="I49">
        <v>19727.37</v>
      </c>
      <c r="J49">
        <v>5244.2</v>
      </c>
      <c r="K49">
        <v>5126.1099999999997</v>
      </c>
    </row>
    <row r="50" spans="1:11">
      <c r="A50" s="9" t="s">
        <v>8</v>
      </c>
      <c r="B50">
        <v>6670.07</v>
      </c>
      <c r="C50">
        <v>6454.24</v>
      </c>
      <c r="D50">
        <v>6210.23</v>
      </c>
      <c r="E50">
        <v>6302.07</v>
      </c>
      <c r="F50">
        <v>6544.84</v>
      </c>
      <c r="G50">
        <v>6552.08</v>
      </c>
      <c r="H50">
        <v>6361.9</v>
      </c>
      <c r="I50">
        <v>6519.39</v>
      </c>
      <c r="J50">
        <v>6816.47</v>
      </c>
      <c r="K50">
        <v>6694.69</v>
      </c>
    </row>
    <row r="51" spans="1:11">
      <c r="A51" s="9"/>
    </row>
    <row r="52" spans="1:11">
      <c r="A52" s="9"/>
    </row>
    <row r="53" spans="1:11">
      <c r="A53" s="9"/>
    </row>
    <row r="54" spans="1:11">
      <c r="A54" s="9"/>
    </row>
    <row r="55" spans="1:11">
      <c r="A55" s="1" t="s">
        <v>40</v>
      </c>
    </row>
    <row r="56" spans="1:11" s="24" customFormat="1">
      <c r="A56" s="23" t="s">
        <v>38</v>
      </c>
      <c r="B56" s="16">
        <v>42460</v>
      </c>
      <c r="C56" s="16">
        <v>42825</v>
      </c>
      <c r="D56" s="16">
        <v>43190</v>
      </c>
      <c r="E56" s="16">
        <v>43555</v>
      </c>
      <c r="F56" s="16">
        <v>43921</v>
      </c>
      <c r="G56" s="16">
        <v>44286</v>
      </c>
      <c r="H56" s="16">
        <v>44651</v>
      </c>
      <c r="I56" s="16">
        <v>45016</v>
      </c>
      <c r="J56" s="16">
        <v>45382</v>
      </c>
      <c r="K56" s="16">
        <v>45747</v>
      </c>
    </row>
    <row r="57" spans="1:11">
      <c r="A57" s="9" t="s">
        <v>24</v>
      </c>
      <c r="B57">
        <v>804.72</v>
      </c>
      <c r="C57">
        <v>1214.74</v>
      </c>
      <c r="D57">
        <v>1220.43</v>
      </c>
      <c r="E57">
        <v>1225.8599999999999</v>
      </c>
      <c r="F57">
        <v>1229.22</v>
      </c>
      <c r="G57">
        <v>1230.8800000000001</v>
      </c>
      <c r="H57">
        <v>1232.33</v>
      </c>
      <c r="I57">
        <v>1242.8</v>
      </c>
      <c r="J57">
        <v>1248.47</v>
      </c>
      <c r="K57">
        <v>1251.4100000000001</v>
      </c>
    </row>
    <row r="58" spans="1:11">
      <c r="A58" s="9" t="s">
        <v>25</v>
      </c>
      <c r="B58">
        <v>41874.800000000003</v>
      </c>
      <c r="C58">
        <v>45198.19</v>
      </c>
      <c r="D58">
        <v>51289.68</v>
      </c>
      <c r="E58">
        <v>57915.01</v>
      </c>
      <c r="F58">
        <v>64044.04</v>
      </c>
      <c r="G58">
        <v>59116.46</v>
      </c>
      <c r="H58">
        <v>61223.24</v>
      </c>
      <c r="I58">
        <v>67912.460000000006</v>
      </c>
      <c r="J58">
        <v>73258.53</v>
      </c>
      <c r="K58">
        <v>68778.64</v>
      </c>
    </row>
    <row r="59" spans="1:11">
      <c r="A59" s="9" t="s">
        <v>71</v>
      </c>
      <c r="B59">
        <v>83.78</v>
      </c>
      <c r="C59">
        <v>45.72</v>
      </c>
      <c r="D59">
        <v>35.92</v>
      </c>
      <c r="E59">
        <v>13.44</v>
      </c>
      <c r="F59">
        <v>277.45</v>
      </c>
      <c r="G59">
        <v>270.83</v>
      </c>
      <c r="H59">
        <v>249.44</v>
      </c>
      <c r="I59">
        <v>306.04000000000002</v>
      </c>
      <c r="J59">
        <v>303.43</v>
      </c>
      <c r="K59">
        <v>284.54000000000002</v>
      </c>
    </row>
    <row r="60" spans="1:11">
      <c r="A60" s="9" t="s">
        <v>72</v>
      </c>
      <c r="B60">
        <v>8888.0400000000009</v>
      </c>
      <c r="C60">
        <v>9439.67</v>
      </c>
      <c r="D60">
        <v>11694.85</v>
      </c>
      <c r="E60">
        <v>12584.73</v>
      </c>
      <c r="F60">
        <v>11760.04</v>
      </c>
      <c r="G60">
        <v>13142.59</v>
      </c>
      <c r="H60">
        <v>14491.01</v>
      </c>
      <c r="I60">
        <v>16369.66</v>
      </c>
      <c r="J60">
        <v>16943.54</v>
      </c>
      <c r="K60">
        <v>17688.11</v>
      </c>
    </row>
    <row r="61" spans="1:11" s="1" customFormat="1">
      <c r="A61" s="1" t="s">
        <v>26</v>
      </c>
      <c r="B61">
        <v>51651.34</v>
      </c>
      <c r="C61">
        <v>55898.32</v>
      </c>
      <c r="D61">
        <v>64240.88</v>
      </c>
      <c r="E61">
        <v>71739.039999999994</v>
      </c>
      <c r="F61">
        <v>77310.75</v>
      </c>
      <c r="G61">
        <v>73760.759999999995</v>
      </c>
      <c r="H61">
        <v>77196.02</v>
      </c>
      <c r="I61">
        <v>85830.96</v>
      </c>
      <c r="J61">
        <v>91753.97</v>
      </c>
      <c r="K61">
        <v>88002.7</v>
      </c>
    </row>
    <row r="62" spans="1:11">
      <c r="A62" s="9" t="s">
        <v>27</v>
      </c>
      <c r="B62">
        <v>15106.63</v>
      </c>
      <c r="C62">
        <v>15893.48</v>
      </c>
      <c r="D62">
        <v>16523.96</v>
      </c>
      <c r="E62">
        <v>19374.189999999999</v>
      </c>
      <c r="F62">
        <v>21713.34</v>
      </c>
      <c r="G62">
        <v>23298.48</v>
      </c>
      <c r="H62">
        <v>24231.59</v>
      </c>
      <c r="I62">
        <v>25851.27</v>
      </c>
      <c r="J62">
        <v>27820.22</v>
      </c>
      <c r="K62">
        <v>21954.85</v>
      </c>
    </row>
    <row r="63" spans="1:11">
      <c r="A63" s="9" t="s">
        <v>28</v>
      </c>
      <c r="B63">
        <v>2559.7199999999998</v>
      </c>
      <c r="C63">
        <v>3729.89</v>
      </c>
      <c r="D63">
        <v>5508.33</v>
      </c>
      <c r="E63">
        <v>4136.42</v>
      </c>
      <c r="F63">
        <v>3256.46</v>
      </c>
      <c r="G63">
        <v>4011.29</v>
      </c>
      <c r="H63">
        <v>3225.54</v>
      </c>
      <c r="I63">
        <v>3003.3</v>
      </c>
      <c r="J63">
        <v>2860.78</v>
      </c>
      <c r="K63">
        <v>1090.9100000000001</v>
      </c>
    </row>
    <row r="64" spans="1:11">
      <c r="A64" s="9" t="s">
        <v>29</v>
      </c>
      <c r="B64">
        <v>11747.59</v>
      </c>
      <c r="C64">
        <v>17581.38</v>
      </c>
      <c r="D64">
        <v>22052.86</v>
      </c>
      <c r="E64">
        <v>25043.49</v>
      </c>
      <c r="F64">
        <v>28663.35</v>
      </c>
      <c r="G64">
        <v>24870.87</v>
      </c>
      <c r="H64">
        <v>24841.01</v>
      </c>
      <c r="I64">
        <v>29415.02</v>
      </c>
      <c r="J64">
        <v>31114.02</v>
      </c>
      <c r="K64">
        <v>34719.82</v>
      </c>
    </row>
    <row r="65" spans="1:11">
      <c r="A65" s="9" t="s">
        <v>73</v>
      </c>
      <c r="B65">
        <v>22237.4</v>
      </c>
      <c r="C65">
        <v>18693.57</v>
      </c>
      <c r="D65">
        <v>20155.73</v>
      </c>
      <c r="E65">
        <v>23184.94</v>
      </c>
      <c r="F65">
        <v>23677.599999999999</v>
      </c>
      <c r="G65">
        <v>21580.12</v>
      </c>
      <c r="H65">
        <v>24897.88</v>
      </c>
      <c r="I65">
        <v>27561.37</v>
      </c>
      <c r="J65">
        <v>29958.95</v>
      </c>
      <c r="K65">
        <v>30237.119999999999</v>
      </c>
    </row>
    <row r="66" spans="1:11" s="1" customFormat="1">
      <c r="A66" s="1" t="s">
        <v>26</v>
      </c>
      <c r="B66">
        <v>51651.34</v>
      </c>
      <c r="C66">
        <v>55898.32</v>
      </c>
      <c r="D66">
        <v>64240.88</v>
      </c>
      <c r="E66">
        <v>71739.039999999994</v>
      </c>
      <c r="F66">
        <v>77310.75</v>
      </c>
      <c r="G66">
        <v>73760.759999999995</v>
      </c>
      <c r="H66">
        <v>77196.02</v>
      </c>
      <c r="I66">
        <v>85830.96</v>
      </c>
      <c r="J66">
        <v>91753.97</v>
      </c>
      <c r="K66">
        <v>88002.7</v>
      </c>
    </row>
    <row r="67" spans="1:11" s="9" customFormat="1">
      <c r="A67" s="9" t="s">
        <v>78</v>
      </c>
      <c r="B67">
        <v>1917.18</v>
      </c>
      <c r="C67">
        <v>2474.29</v>
      </c>
      <c r="D67">
        <v>2682.29</v>
      </c>
      <c r="E67">
        <v>4035.28</v>
      </c>
      <c r="F67">
        <v>2562.48</v>
      </c>
      <c r="G67">
        <v>2501.6999999999998</v>
      </c>
      <c r="H67">
        <v>2461.9</v>
      </c>
      <c r="I67">
        <v>2956.17</v>
      </c>
      <c r="J67">
        <v>4025.82</v>
      </c>
      <c r="K67">
        <v>4719.67</v>
      </c>
    </row>
    <row r="68" spans="1:11">
      <c r="A68" s="9" t="s">
        <v>45</v>
      </c>
      <c r="B68">
        <v>9062.1</v>
      </c>
      <c r="C68">
        <v>8116.1</v>
      </c>
      <c r="D68">
        <v>7495.09</v>
      </c>
      <c r="E68">
        <v>7859.56</v>
      </c>
      <c r="F68">
        <v>8879.33</v>
      </c>
      <c r="G68">
        <v>10397.16</v>
      </c>
      <c r="H68">
        <v>10864.15</v>
      </c>
      <c r="I68">
        <v>11771.16</v>
      </c>
      <c r="J68">
        <v>14152.88</v>
      </c>
      <c r="K68">
        <v>15637.56</v>
      </c>
    </row>
    <row r="69" spans="1:11">
      <c r="A69" s="5" t="s">
        <v>87</v>
      </c>
      <c r="B69">
        <v>6063.3</v>
      </c>
      <c r="C69">
        <v>2967.4</v>
      </c>
      <c r="D69">
        <v>2899.6</v>
      </c>
      <c r="E69">
        <v>4152.03</v>
      </c>
      <c r="F69">
        <v>7277.34</v>
      </c>
      <c r="G69">
        <v>4659.0200000000004</v>
      </c>
      <c r="H69">
        <v>4654.42</v>
      </c>
      <c r="I69">
        <v>4880.1899999999996</v>
      </c>
      <c r="J69">
        <v>7217.68</v>
      </c>
      <c r="K69">
        <v>4012.36</v>
      </c>
    </row>
    <row r="70" spans="1:11">
      <c r="A70" s="5" t="s">
        <v>74</v>
      </c>
      <c r="B70">
        <v>8047206991</v>
      </c>
      <c r="C70">
        <v>12147383071</v>
      </c>
      <c r="D70">
        <v>12204294911</v>
      </c>
      <c r="E70">
        <v>12258631601</v>
      </c>
      <c r="F70">
        <v>12292231241</v>
      </c>
      <c r="G70">
        <v>12308844231</v>
      </c>
      <c r="H70">
        <v>12323255931</v>
      </c>
      <c r="I70">
        <v>12428017741</v>
      </c>
      <c r="J70">
        <v>12484700000</v>
      </c>
      <c r="K70">
        <v>12514119781</v>
      </c>
    </row>
    <row r="71" spans="1:11">
      <c r="A71" s="5" t="s">
        <v>75</v>
      </c>
      <c r="C71">
        <v>4026657100</v>
      </c>
    </row>
    <row r="72" spans="1:11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>
      <c r="A74" s="9"/>
    </row>
    <row r="75" spans="1:11">
      <c r="A75" s="9"/>
    </row>
    <row r="76" spans="1:11">
      <c r="A76" s="9"/>
    </row>
    <row r="77" spans="1:11">
      <c r="A77" s="9"/>
    </row>
    <row r="78" spans="1:11">
      <c r="A78" s="9"/>
    </row>
    <row r="79" spans="1:11">
      <c r="A79" s="9"/>
    </row>
    <row r="80" spans="1:11">
      <c r="A80" s="1" t="s">
        <v>41</v>
      </c>
    </row>
    <row r="81" spans="1:11" s="24" customFormat="1">
      <c r="A81" s="23" t="s">
        <v>38</v>
      </c>
      <c r="B81" s="16">
        <v>42460</v>
      </c>
      <c r="C81" s="16">
        <v>42825</v>
      </c>
      <c r="D81" s="16">
        <v>43190</v>
      </c>
      <c r="E81" s="16">
        <v>43555</v>
      </c>
      <c r="F81" s="16">
        <v>43921</v>
      </c>
      <c r="G81" s="16">
        <v>44286</v>
      </c>
      <c r="H81" s="16">
        <v>44651</v>
      </c>
      <c r="I81" s="16">
        <v>45016</v>
      </c>
      <c r="J81" s="16">
        <v>45382</v>
      </c>
      <c r="K81" s="16">
        <v>45747</v>
      </c>
    </row>
    <row r="82" spans="1:11" s="1" customFormat="1">
      <c r="A82" s="9" t="s">
        <v>32</v>
      </c>
      <c r="B82">
        <v>9799.0400000000009</v>
      </c>
      <c r="C82">
        <v>10627.31</v>
      </c>
      <c r="D82">
        <v>13169.4</v>
      </c>
      <c r="E82">
        <v>12583.41</v>
      </c>
      <c r="F82">
        <v>14689.66</v>
      </c>
      <c r="G82">
        <v>12526.97</v>
      </c>
      <c r="H82">
        <v>15775.51</v>
      </c>
      <c r="I82">
        <v>18877.55</v>
      </c>
      <c r="J82">
        <v>17178.86</v>
      </c>
      <c r="K82">
        <v>17627.04</v>
      </c>
    </row>
    <row r="83" spans="1:11" s="9" customFormat="1">
      <c r="A83" s="9" t="s">
        <v>33</v>
      </c>
      <c r="B83">
        <v>-3920.73</v>
      </c>
      <c r="C83">
        <v>-3250.93</v>
      </c>
      <c r="D83">
        <v>-7113.89</v>
      </c>
      <c r="E83">
        <v>-5545.68</v>
      </c>
      <c r="F83">
        <v>-6174.02</v>
      </c>
      <c r="G83">
        <v>5739.98</v>
      </c>
      <c r="H83">
        <v>-2238.4899999999998</v>
      </c>
      <c r="I83">
        <v>-5732.29</v>
      </c>
      <c r="J83">
        <v>1562.77</v>
      </c>
      <c r="K83">
        <v>-563.84</v>
      </c>
    </row>
    <row r="84" spans="1:11" s="9" customFormat="1">
      <c r="A84" s="9" t="s">
        <v>34</v>
      </c>
      <c r="B84">
        <v>-5612.52</v>
      </c>
      <c r="C84">
        <v>-7301.03</v>
      </c>
      <c r="D84">
        <v>-6221.13</v>
      </c>
      <c r="E84">
        <v>-6868.64</v>
      </c>
      <c r="F84">
        <v>-8181.48</v>
      </c>
      <c r="G84">
        <v>-18633.830000000002</v>
      </c>
      <c r="H84">
        <v>-13580.5</v>
      </c>
      <c r="I84">
        <v>-13006.03</v>
      </c>
      <c r="J84">
        <v>-18550.96</v>
      </c>
      <c r="K84">
        <v>-17037.400000000001</v>
      </c>
    </row>
    <row r="85" spans="1:11" s="1" customFormat="1">
      <c r="A85" s="9" t="s">
        <v>35</v>
      </c>
      <c r="B85">
        <v>265.79000000000002</v>
      </c>
      <c r="C85">
        <v>75.349999999999994</v>
      </c>
      <c r="D85">
        <v>-165.62</v>
      </c>
      <c r="E85">
        <v>169.09</v>
      </c>
      <c r="F85">
        <v>334.16</v>
      </c>
      <c r="G85">
        <v>-366.88</v>
      </c>
      <c r="H85">
        <v>-43.48</v>
      </c>
      <c r="I85">
        <v>139.22999999999999</v>
      </c>
      <c r="J85">
        <v>190.67</v>
      </c>
      <c r="K85">
        <v>25.8</v>
      </c>
    </row>
    <row r="86" spans="1:11">
      <c r="A86" s="9"/>
    </row>
    <row r="87" spans="1:11">
      <c r="A87" s="9"/>
    </row>
    <row r="88" spans="1:11">
      <c r="A88" s="9"/>
    </row>
    <row r="89" spans="1:11">
      <c r="A89" s="9"/>
    </row>
    <row r="90" spans="1:11" s="1" customFormat="1">
      <c r="A90" s="1" t="s">
        <v>77</v>
      </c>
      <c r="B90">
        <v>205.13</v>
      </c>
      <c r="C90">
        <v>262.75</v>
      </c>
      <c r="D90">
        <v>239.5</v>
      </c>
      <c r="E90">
        <v>278.64</v>
      </c>
      <c r="F90">
        <v>160.94999999999999</v>
      </c>
      <c r="G90">
        <v>204.82</v>
      </c>
      <c r="H90">
        <v>234.96</v>
      </c>
      <c r="I90">
        <v>359.49</v>
      </c>
      <c r="J90">
        <v>401.53</v>
      </c>
      <c r="K90">
        <v>409.75</v>
      </c>
    </row>
    <row r="92" spans="1:11" s="1" customFormat="1">
      <c r="A92" s="1" t="s">
        <v>76</v>
      </c>
    </row>
    <row r="93" spans="1:11">
      <c r="A93" s="5" t="s">
        <v>89</v>
      </c>
      <c r="B93" s="31">
        <v>1207.08</v>
      </c>
      <c r="C93" s="31">
        <v>1214.74</v>
      </c>
      <c r="D93" s="31">
        <v>1220.43</v>
      </c>
      <c r="E93" s="31">
        <v>1225.8599999999999</v>
      </c>
      <c r="F93" s="31">
        <v>1229.22</v>
      </c>
      <c r="G93" s="31">
        <v>1230.8800000000001</v>
      </c>
      <c r="H93" s="31">
        <v>1232.33</v>
      </c>
      <c r="I93" s="31">
        <v>1242.8</v>
      </c>
      <c r="J93" s="31">
        <v>1248.47</v>
      </c>
      <c r="K93" s="31">
        <v>1251.4100000000001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Input Sheet</vt:lpstr>
      <vt:lpstr>Teaser</vt:lpstr>
      <vt:lpstr>Profit &amp; Loss</vt:lpstr>
      <vt:lpstr>Quarters</vt:lpstr>
      <vt:lpstr>Sheet3</vt:lpstr>
      <vt:lpstr>Balance Sheet</vt:lpstr>
      <vt:lpstr>Cash Flow</vt:lpstr>
      <vt:lpstr>Customization</vt:lpstr>
      <vt:lpstr>Data Sheet</vt:lpstr>
      <vt:lpstr>Teaser!Print_Area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Anuj Sharma</cp:lastModifiedBy>
  <cp:lastPrinted>2026-01-10T04:30:01Z</cp:lastPrinted>
  <dcterms:created xsi:type="dcterms:W3CDTF">2012-08-17T09:55:37Z</dcterms:created>
  <dcterms:modified xsi:type="dcterms:W3CDTF">2026-01-10T04:31:29Z</dcterms:modified>
</cp:coreProperties>
</file>